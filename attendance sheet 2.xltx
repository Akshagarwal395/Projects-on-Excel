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PC-14\Desktop\"/>
    </mc:Choice>
  </mc:AlternateContent>
  <bookViews>
    <workbookView xWindow="-120" yWindow="-120" windowWidth="20730" windowHeight="11160"/>
  </bookViews>
  <sheets>
    <sheet name="Sheet1" sheetId="1" r:id="rId1"/>
    <sheet name="Sheet2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H328" i="1" l="1"/>
  <c r="AH326" i="1"/>
  <c r="AH324" i="1"/>
  <c r="AH322" i="1"/>
  <c r="AH320" i="1"/>
  <c r="AH318" i="1"/>
  <c r="AH316" i="1"/>
  <c r="AH314" i="1"/>
  <c r="AH312" i="1"/>
  <c r="AH310" i="1"/>
  <c r="AH308" i="1"/>
  <c r="AH306" i="1"/>
  <c r="AH304" i="1"/>
  <c r="AH302" i="1"/>
  <c r="AH300" i="1"/>
  <c r="AH298" i="1"/>
  <c r="AH296" i="1"/>
  <c r="AH294" i="1"/>
  <c r="AH292" i="1"/>
  <c r="AH290" i="1"/>
  <c r="AH288" i="1"/>
  <c r="AH286" i="1"/>
  <c r="AH284" i="1"/>
  <c r="AH282" i="1"/>
  <c r="AH280" i="1"/>
  <c r="AH278" i="1"/>
  <c r="AH276" i="1"/>
  <c r="AH274" i="1"/>
  <c r="AH272" i="1"/>
  <c r="AH270" i="1"/>
  <c r="AH268" i="1"/>
  <c r="AH266" i="1"/>
  <c r="AH264" i="1"/>
  <c r="AH262" i="1"/>
  <c r="AH260" i="1"/>
  <c r="AH258" i="1"/>
  <c r="AH256" i="1"/>
  <c r="AH254" i="1"/>
  <c r="AH252" i="1"/>
  <c r="AH250" i="1"/>
  <c r="AH248" i="1"/>
  <c r="AH246" i="1"/>
  <c r="AH244" i="1"/>
  <c r="AH242" i="1"/>
  <c r="AH240" i="1"/>
  <c r="AH238" i="1"/>
  <c r="AH236" i="1"/>
  <c r="AH234" i="1"/>
  <c r="AH232" i="1"/>
  <c r="AH230" i="1"/>
  <c r="AH228" i="1"/>
  <c r="AH226" i="1"/>
  <c r="AH224" i="1"/>
  <c r="AH222" i="1"/>
  <c r="AH220" i="1"/>
  <c r="AH218" i="1"/>
  <c r="AH216" i="1"/>
  <c r="AH214" i="1"/>
  <c r="AH212" i="1"/>
  <c r="AH210" i="1"/>
  <c r="AH208" i="1"/>
  <c r="AH206" i="1"/>
  <c r="AH204" i="1"/>
  <c r="AH202" i="1"/>
  <c r="AH200" i="1"/>
  <c r="AH198" i="1"/>
  <c r="AH196" i="1"/>
  <c r="AH194" i="1"/>
  <c r="AH192" i="1"/>
  <c r="AH190" i="1"/>
  <c r="AH188" i="1"/>
  <c r="AH186" i="1"/>
  <c r="AH184" i="1"/>
  <c r="AH182" i="1"/>
  <c r="AH180" i="1"/>
  <c r="AH178" i="1"/>
  <c r="AH176" i="1"/>
  <c r="AH174" i="1"/>
  <c r="AH172" i="1"/>
  <c r="AH170" i="1"/>
  <c r="AH168" i="1"/>
  <c r="AH166" i="1"/>
  <c r="AH164" i="1"/>
  <c r="AH162" i="1"/>
  <c r="AH160" i="1"/>
  <c r="AH158" i="1"/>
  <c r="AH156" i="1"/>
  <c r="AH154" i="1"/>
  <c r="AH152" i="1"/>
  <c r="AH150" i="1"/>
  <c r="AH148" i="1"/>
  <c r="AH146" i="1"/>
  <c r="AH144" i="1"/>
  <c r="AH142" i="1"/>
  <c r="AH140" i="1"/>
  <c r="AH138" i="1"/>
  <c r="AH136" i="1"/>
  <c r="AH134" i="1"/>
  <c r="AH132" i="1"/>
  <c r="AH130" i="1"/>
  <c r="AH128" i="1"/>
  <c r="AH126" i="1"/>
  <c r="AH124" i="1"/>
  <c r="AH122" i="1"/>
  <c r="AH120" i="1"/>
  <c r="AH118" i="1"/>
  <c r="AH114" i="1"/>
  <c r="AH112" i="1"/>
  <c r="AH110" i="1"/>
  <c r="AH108" i="1"/>
  <c r="AH106" i="1"/>
  <c r="AH104" i="1"/>
  <c r="AH102" i="1"/>
  <c r="AH100" i="1"/>
  <c r="AH98" i="1"/>
  <c r="AH97" i="1"/>
  <c r="AH95" i="1"/>
  <c r="AH96" i="1"/>
  <c r="AH93" i="1"/>
  <c r="AH90" i="1"/>
  <c r="AH92" i="1"/>
  <c r="AH91" i="1"/>
  <c r="AH89" i="1"/>
  <c r="AH88" i="1"/>
  <c r="AH87" i="1"/>
  <c r="AH86" i="1"/>
  <c r="AH84" i="1"/>
  <c r="AH80" i="1"/>
  <c r="AH78" i="1"/>
  <c r="AH76" i="1"/>
  <c r="AH85" i="1"/>
  <c r="AH133" i="1"/>
  <c r="AH94" i="1"/>
  <c r="AH74" i="1"/>
  <c r="AH72" i="1"/>
  <c r="AH70" i="1"/>
  <c r="AH68" i="1"/>
  <c r="AH66" i="1"/>
  <c r="AH64" i="1"/>
  <c r="AH62" i="1"/>
  <c r="AH60" i="1"/>
  <c r="AH58" i="1"/>
  <c r="AH56" i="1"/>
  <c r="AH54" i="1"/>
  <c r="AH52" i="1"/>
  <c r="AH50" i="1"/>
  <c r="AH48" i="1"/>
  <c r="AH46" i="1"/>
  <c r="AH44" i="1"/>
  <c r="AH42" i="1"/>
  <c r="AH40" i="1"/>
  <c r="AH38" i="1"/>
  <c r="AH36" i="1"/>
  <c r="AH34" i="1"/>
  <c r="AH32" i="1"/>
  <c r="AH30" i="1"/>
  <c r="AH28" i="1"/>
  <c r="AH26" i="1"/>
  <c r="AH24" i="1"/>
  <c r="AH22" i="1"/>
  <c r="AH18" i="1"/>
  <c r="AH16" i="1"/>
  <c r="AH14" i="1"/>
  <c r="AH12" i="1"/>
  <c r="AH10" i="1"/>
  <c r="AH8" i="1"/>
  <c r="AH6" i="1"/>
  <c r="AH21" i="1"/>
  <c r="AH23" i="1"/>
  <c r="AH7" i="1"/>
  <c r="AH9" i="1"/>
  <c r="AH11" i="1"/>
  <c r="AH13" i="1"/>
  <c r="AH15" i="1"/>
  <c r="AH17" i="1"/>
  <c r="AH19" i="1"/>
  <c r="AH25" i="1"/>
  <c r="AH27" i="1"/>
  <c r="AH29" i="1"/>
  <c r="AH31" i="1"/>
  <c r="AH33" i="1"/>
  <c r="AH35" i="1"/>
  <c r="AH37" i="1"/>
  <c r="AH39" i="1"/>
  <c r="AH41" i="1"/>
  <c r="AH43" i="1"/>
  <c r="AH45" i="1"/>
  <c r="AH47" i="1"/>
  <c r="AH49" i="1"/>
  <c r="AH51" i="1"/>
  <c r="AH53" i="1"/>
  <c r="AH55" i="1"/>
  <c r="AH57" i="1"/>
  <c r="AH59" i="1"/>
  <c r="AH61" i="1"/>
  <c r="AH63" i="1"/>
  <c r="AH65" i="1"/>
  <c r="AH67" i="1"/>
  <c r="AH69" i="1"/>
  <c r="AH71" i="1"/>
  <c r="AH73" i="1"/>
  <c r="AH75" i="1"/>
  <c r="AH77" i="1"/>
  <c r="AH79" i="1"/>
  <c r="AH81" i="1"/>
  <c r="AH83" i="1"/>
  <c r="AH99" i="1"/>
  <c r="AH101" i="1"/>
  <c r="AH103" i="1"/>
  <c r="AH105" i="1"/>
  <c r="AH107" i="1"/>
  <c r="AH109" i="1"/>
  <c r="AH111" i="1"/>
  <c r="AH113" i="1"/>
  <c r="AH115" i="1"/>
  <c r="AH117" i="1"/>
  <c r="AH119" i="1"/>
  <c r="AH121" i="1"/>
  <c r="AH123" i="1"/>
  <c r="AH125" i="1"/>
  <c r="AH127" i="1"/>
  <c r="AH129" i="1"/>
  <c r="AH131" i="1"/>
  <c r="AH135" i="1"/>
  <c r="AH137" i="1"/>
  <c r="AH139" i="1"/>
  <c r="AH141" i="1"/>
  <c r="AH143" i="1"/>
  <c r="AH145" i="1"/>
  <c r="AH147" i="1"/>
  <c r="AH149" i="1"/>
  <c r="AH151" i="1"/>
  <c r="AH153" i="1"/>
  <c r="AH155" i="1"/>
  <c r="AH157" i="1"/>
  <c r="AH159" i="1"/>
  <c r="AH161" i="1"/>
  <c r="AH163" i="1"/>
  <c r="AH165" i="1"/>
  <c r="AH167" i="1"/>
  <c r="AH169" i="1"/>
  <c r="AH171" i="1"/>
  <c r="AH173" i="1"/>
  <c r="AH175" i="1"/>
  <c r="AH177" i="1"/>
  <c r="AH179" i="1"/>
  <c r="AH181" i="1"/>
  <c r="AH183" i="1"/>
  <c r="AH185" i="1"/>
  <c r="AH187" i="1"/>
  <c r="AH189" i="1"/>
  <c r="AH191" i="1"/>
  <c r="AH193" i="1"/>
  <c r="AH195" i="1"/>
  <c r="AH197" i="1"/>
  <c r="AH199" i="1"/>
  <c r="AH201" i="1"/>
  <c r="AH203" i="1"/>
  <c r="AH205" i="1"/>
  <c r="AH207" i="1"/>
  <c r="AH209" i="1"/>
  <c r="AH211" i="1"/>
  <c r="AH213" i="1"/>
  <c r="AH215" i="1"/>
  <c r="AH217" i="1"/>
  <c r="AH219" i="1"/>
  <c r="AH221" i="1"/>
  <c r="AH223" i="1"/>
  <c r="AH225" i="1"/>
  <c r="AH227" i="1"/>
  <c r="AH229" i="1"/>
  <c r="AH231" i="1"/>
  <c r="AH233" i="1"/>
  <c r="AH235" i="1"/>
  <c r="AH237" i="1"/>
  <c r="AH239" i="1"/>
  <c r="AH241" i="1"/>
  <c r="AH243" i="1"/>
  <c r="AH245" i="1"/>
  <c r="AH247" i="1"/>
  <c r="AH249" i="1"/>
  <c r="AH251" i="1"/>
  <c r="AH253" i="1"/>
  <c r="AH255" i="1"/>
  <c r="AH257" i="1"/>
  <c r="AH259" i="1"/>
  <c r="AH261" i="1"/>
  <c r="AH263" i="1"/>
  <c r="AH265" i="1"/>
  <c r="AH267" i="1"/>
  <c r="AH269" i="1"/>
  <c r="AH271" i="1"/>
  <c r="AH273" i="1"/>
  <c r="AH275" i="1"/>
  <c r="AH277" i="1"/>
  <c r="AH279" i="1"/>
  <c r="AH281" i="1"/>
  <c r="AH283" i="1"/>
  <c r="AH285" i="1"/>
  <c r="AH287" i="1"/>
  <c r="AH289" i="1"/>
  <c r="AH291" i="1"/>
  <c r="AH293" i="1"/>
  <c r="AH295" i="1"/>
  <c r="AH297" i="1"/>
  <c r="AH299" i="1"/>
  <c r="AH301" i="1"/>
  <c r="AH303" i="1"/>
  <c r="AH305" i="1"/>
  <c r="AH307" i="1"/>
  <c r="AH309" i="1"/>
  <c r="AH311" i="1"/>
  <c r="AH313" i="1"/>
  <c r="AH315" i="1"/>
  <c r="AH317" i="1"/>
  <c r="AH319" i="1"/>
  <c r="AH321" i="1"/>
  <c r="AH323" i="1"/>
  <c r="AH325" i="1"/>
  <c r="AH327" i="1"/>
  <c r="AH5" i="1" l="1"/>
  <c r="F2" i="1" l="1"/>
  <c r="K2" i="1" s="1"/>
  <c r="C3" i="1" l="1"/>
  <c r="D3" i="1" l="1"/>
  <c r="C4" i="1"/>
  <c r="E3" i="1" l="1"/>
  <c r="D4" i="1"/>
  <c r="F3" i="1" l="1"/>
  <c r="E4" i="1"/>
  <c r="G3" i="1" l="1"/>
  <c r="F4" i="1"/>
  <c r="H3" i="1" l="1"/>
  <c r="G4" i="1"/>
  <c r="I3" i="1" l="1"/>
  <c r="H4" i="1"/>
  <c r="J3" i="1" l="1"/>
  <c r="I4" i="1"/>
  <c r="K3" i="1" l="1"/>
  <c r="J4" i="1"/>
  <c r="L3" i="1" l="1"/>
  <c r="K4" i="1"/>
  <c r="M3" i="1" l="1"/>
  <c r="L4" i="1"/>
  <c r="N3" i="1" l="1"/>
  <c r="M4" i="1"/>
  <c r="O3" i="1" l="1"/>
  <c r="N4" i="1"/>
  <c r="P3" i="1" l="1"/>
  <c r="O4" i="1"/>
  <c r="Q3" i="1" l="1"/>
  <c r="P4" i="1"/>
  <c r="R3" i="1" l="1"/>
  <c r="Q4" i="1"/>
  <c r="S3" i="1" l="1"/>
  <c r="R4" i="1"/>
  <c r="T3" i="1" l="1"/>
  <c r="S4" i="1"/>
  <c r="U3" i="1" l="1"/>
  <c r="T4" i="1"/>
  <c r="V3" i="1" l="1"/>
  <c r="U4" i="1"/>
  <c r="W3" i="1" l="1"/>
  <c r="V4" i="1"/>
  <c r="X3" i="1" l="1"/>
  <c r="W4" i="1"/>
  <c r="Y3" i="1" l="1"/>
  <c r="X4" i="1"/>
  <c r="Z3" i="1" l="1"/>
  <c r="Y4" i="1"/>
  <c r="AA3" i="1" l="1"/>
  <c r="Z4" i="1"/>
  <c r="AB3" i="1" l="1"/>
  <c r="AA4" i="1"/>
  <c r="AC3" i="1" l="1"/>
  <c r="AB4" i="1"/>
  <c r="AD3" i="1" l="1"/>
  <c r="AC4" i="1"/>
  <c r="AE3" i="1" l="1"/>
  <c r="AD4" i="1"/>
  <c r="AF3" i="1" l="1"/>
  <c r="AE4" i="1"/>
  <c r="AG3" i="1" l="1"/>
  <c r="AG4" i="1" s="1"/>
  <c r="AF4" i="1"/>
  <c r="AH82" i="1"/>
  <c r="AH20" i="1"/>
  <c r="AH116" i="1"/>
</calcChain>
</file>

<file path=xl/sharedStrings.xml><?xml version="1.0" encoding="utf-8"?>
<sst xmlns="http://schemas.openxmlformats.org/spreadsheetml/2006/main" count="343" uniqueCount="341">
  <si>
    <t>Month</t>
  </si>
  <si>
    <t>ID No.</t>
  </si>
  <si>
    <t>Name</t>
  </si>
  <si>
    <t xml:space="preserve">January 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</si>
  <si>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</si>
  <si>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</si>
  <si>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</si>
  <si>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</si>
  <si>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</si>
  <si>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</si>
  <si>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</si>
  <si>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</si>
  <si>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</si>
  <si>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</si>
  <si>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</si>
  <si>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Attendance Sheet Of 2024</t>
  </si>
  <si>
    <t>To</t>
  </si>
  <si>
    <t>Abdul Wahid</t>
  </si>
  <si>
    <t>Abhimanyu Mahanandia</t>
  </si>
  <si>
    <t>Abhishek Kumar</t>
  </si>
  <si>
    <t>Ajay Kumar Singh</t>
  </si>
  <si>
    <t>Ajay Kumbhakar</t>
  </si>
  <si>
    <t>Ajit Kumar Gupta</t>
  </si>
  <si>
    <t>Ajit Kumar Singh</t>
  </si>
  <si>
    <t>Akash Khandait</t>
  </si>
  <si>
    <t>Akash Kumar</t>
  </si>
  <si>
    <t>Akash Kumar Agarwal</t>
  </si>
  <si>
    <t>Akash Tudu</t>
  </si>
  <si>
    <t>Amol Kumar</t>
  </si>
  <si>
    <t>Anant Suman</t>
  </si>
  <si>
    <t>Anil Kumar</t>
  </si>
  <si>
    <t>Anil Kumar Choudhary</t>
  </si>
  <si>
    <t>Anuj Kumar Das</t>
  </si>
  <si>
    <t>Arun Singh</t>
  </si>
  <si>
    <t>Ashish Shaw</t>
  </si>
  <si>
    <t>Ashok Kumar Singh</t>
  </si>
  <si>
    <t>Asish Paramanik</t>
  </si>
  <si>
    <t>Asit Chandra Dutta</t>
  </si>
  <si>
    <t>Basant Kumar Singh</t>
  </si>
  <si>
    <t>Bharat Singh</t>
  </si>
  <si>
    <t>Bhupatinath Mahato</t>
  </si>
  <si>
    <t>Bidhan Bauri</t>
  </si>
  <si>
    <t>Biju Singh</t>
  </si>
  <si>
    <t>Bikash Mahato</t>
  </si>
  <si>
    <t>Binay Kumar Singh</t>
  </si>
  <si>
    <t>Binod Kumar Rai</t>
  </si>
  <si>
    <t>Binod Kumar Singh</t>
  </si>
  <si>
    <t>Birendra Gupta</t>
  </si>
  <si>
    <t>Brajesh Kumar Singh</t>
  </si>
  <si>
    <t>Budh Ray Soren</t>
  </si>
  <si>
    <t>Chanchal Rajak</t>
  </si>
  <si>
    <t>Chandan Kumar</t>
  </si>
  <si>
    <t>Chandan Kumar Behera</t>
  </si>
  <si>
    <t>Chandrakanta Behera</t>
  </si>
  <si>
    <t>Dashrath Gope</t>
  </si>
  <si>
    <t>Dashrath Kumar Sharma</t>
  </si>
  <si>
    <t>Debasis Bera</t>
  </si>
  <si>
    <t>Debbrota Chakraborty</t>
  </si>
  <si>
    <t>Deva Patra</t>
  </si>
  <si>
    <t>Devdas Gorai</t>
  </si>
  <si>
    <t>Dhananjay Maiti</t>
  </si>
  <si>
    <t>Dilip Goswami</t>
  </si>
  <si>
    <t>Dilip Tarai</t>
  </si>
  <si>
    <t>Din Dayal Yadav</t>
  </si>
  <si>
    <t>Firdosh Ansari</t>
  </si>
  <si>
    <t>Francis Tuti</t>
  </si>
  <si>
    <t>Ganesh Pramanik</t>
  </si>
  <si>
    <t>Gopi Sinha</t>
  </si>
  <si>
    <t>Govinda Singh</t>
  </si>
  <si>
    <t>Indranil Sahoo</t>
  </si>
  <si>
    <t>Jahangir Alam</t>
  </si>
  <si>
    <t>Jarman Sidhu</t>
  </si>
  <si>
    <t>Jasbir Singh</t>
  </si>
  <si>
    <t>Jatru Mahato</t>
  </si>
  <si>
    <t>Jhantu Behera</t>
  </si>
  <si>
    <t>Jitendra Kumar Das</t>
  </si>
  <si>
    <t>Kanhai Mandi</t>
  </si>
  <si>
    <t>Kanhai Mardi</t>
  </si>
  <si>
    <t>Karamchand Mahto</t>
  </si>
  <si>
    <t>Kartik Goud</t>
  </si>
  <si>
    <t>Koushik Kumar Laha</t>
  </si>
  <si>
    <t>Kuldeep Kumar Sah</t>
  </si>
  <si>
    <t>Kuldip Singh</t>
  </si>
  <si>
    <t>Lakhu Hazam</t>
  </si>
  <si>
    <t>Lala Prasad Yadav</t>
  </si>
  <si>
    <t>Mahipal Kumar</t>
  </si>
  <si>
    <t>Manish Kumar Singh</t>
  </si>
  <si>
    <t>Manjeet Kumar</t>
  </si>
  <si>
    <t>Manoj Kumar Choudhary</t>
  </si>
  <si>
    <t>Manu Murmu</t>
  </si>
  <si>
    <t>Md Faique</t>
  </si>
  <si>
    <t>Md Chand Raza</t>
  </si>
  <si>
    <t>Md Jakaul Haque</t>
  </si>
  <si>
    <t>Mohammad Hasan Miyan</t>
  </si>
  <si>
    <t>Mohammad Siraj</t>
  </si>
  <si>
    <t>Mohammad Zafar Alam</t>
  </si>
  <si>
    <t>Mrityunjay Ram</t>
  </si>
  <si>
    <t>Mrutunjay Maity</t>
  </si>
  <si>
    <t>Murari Mahato</t>
  </si>
  <si>
    <t>Nab Kumar Chatterjee</t>
  </si>
  <si>
    <t>Narayan Patra</t>
  </si>
  <si>
    <t>Narsingh Tudu</t>
  </si>
  <si>
    <t>Nebulal Sahu</t>
  </si>
  <si>
    <t>Nikhil Mukhi</t>
  </si>
  <si>
    <t>Nirmal Chowdhary</t>
  </si>
  <si>
    <t>Pappu Kumar Gupta</t>
  </si>
  <si>
    <t>Paresh Jena</t>
  </si>
  <si>
    <t>Parsu Ram Mahato</t>
  </si>
  <si>
    <t>Pawan Kumar</t>
  </si>
  <si>
    <t>Pintu Gorai</t>
  </si>
  <si>
    <t>Prakash Kumar Gupta</t>
  </si>
  <si>
    <t>Pramid Bisoi</t>
  </si>
  <si>
    <t>Premchand Choudhary</t>
  </si>
  <si>
    <t>Premnath Singh</t>
  </si>
  <si>
    <t>Purushottam Kumar</t>
  </si>
  <si>
    <t>Rabindra Nath Bera</t>
  </si>
  <si>
    <t>Rabindra Prajapati</t>
  </si>
  <si>
    <t>Rajendra Pandit</t>
  </si>
  <si>
    <t>Rajesh Kumar</t>
  </si>
  <si>
    <t>Rajesh Kumar Sharma</t>
  </si>
  <si>
    <t>Rajesh Kumar Singh</t>
  </si>
  <si>
    <t>Rajnish Kumar</t>
  </si>
  <si>
    <t>Raju Choubey</t>
  </si>
  <si>
    <t>Rakesh Chaudhary</t>
  </si>
  <si>
    <t>Rakesh Kumar</t>
  </si>
  <si>
    <t>Ram Singh</t>
  </si>
  <si>
    <t>Ramanand Nishad</t>
  </si>
  <si>
    <t>Ramdas Karmakar</t>
  </si>
  <si>
    <t>Rango Kandiyang</t>
  </si>
  <si>
    <t>Ranjan Kumar</t>
  </si>
  <si>
    <t>Ranjeesh Kumar</t>
  </si>
  <si>
    <t>Ranjeet Kumar</t>
  </si>
  <si>
    <t>Ranjit Kumar Thakur</t>
  </si>
  <si>
    <t>Ravindra Kumar</t>
  </si>
  <si>
    <t>Rawan Baskey</t>
  </si>
  <si>
    <t>Robin Mandal</t>
  </si>
  <si>
    <t>Rusia Bisoi</t>
  </si>
  <si>
    <t>Sahadev Mahato</t>
  </si>
  <si>
    <t>Sahir Kobir</t>
  </si>
  <si>
    <t>Samar Singh</t>
  </si>
  <si>
    <t>Samir Chandra Pramanik</t>
  </si>
  <si>
    <t>Samudra Bera</t>
  </si>
  <si>
    <t>Sandeep Birua</t>
  </si>
  <si>
    <t>Sandeep Kumar</t>
  </si>
  <si>
    <t>Sanjay Gour</t>
  </si>
  <si>
    <t>Sanjay Kumar</t>
  </si>
  <si>
    <t>Sanjay Kumar Singh</t>
  </si>
  <si>
    <t>Sanjay Thakur</t>
  </si>
  <si>
    <t>Santosh Kumar Yadav</t>
  </si>
  <si>
    <t>Santosh Pramanik</t>
  </si>
  <si>
    <t>Sarita Suman Pathak</t>
  </si>
  <si>
    <t>Satyendra Kumar Bharti</t>
  </si>
  <si>
    <t>Shakti Sharma</t>
  </si>
  <si>
    <t>Shambhu Nath Jha</t>
  </si>
  <si>
    <t>Shantipada Bhanj</t>
  </si>
  <si>
    <t>Shiv Bihari Yadav</t>
  </si>
  <si>
    <t>Shiv Shankar Sav</t>
  </si>
  <si>
    <t>Sonu Kumar Singh</t>
  </si>
  <si>
    <t>Subhash Tiwari</t>
  </si>
  <si>
    <t>Subodh Gorai</t>
  </si>
  <si>
    <t>Sudam Manjhi</t>
  </si>
  <si>
    <t>Sudama Kumar Yadav</t>
  </si>
  <si>
    <t>Sudama Singh</t>
  </si>
  <si>
    <t>Sudeb Mahato</t>
  </si>
  <si>
    <t>Sudhakar Gope</t>
  </si>
  <si>
    <t>Sujeet Kumar Mandal</t>
  </si>
  <si>
    <t>Sujit Kumar</t>
  </si>
  <si>
    <t>Sukh Lal Tanti</t>
  </si>
  <si>
    <t>Sunil Choudhary</t>
  </si>
  <si>
    <t>Surendra Prasad Varma</t>
  </si>
  <si>
    <t>Surendra Yadav</t>
  </si>
  <si>
    <t>Suresh Gope</t>
  </si>
  <si>
    <t>Suresh Prasad</t>
  </si>
  <si>
    <t>Thakur Praveen Singh</t>
  </si>
  <si>
    <t>Umesh Choudhary</t>
  </si>
  <si>
    <t>Upendra Kumar Mahto</t>
  </si>
  <si>
    <t>Varun Kumar Chourasia</t>
  </si>
  <si>
    <t>Vikram Hembram</t>
  </si>
  <si>
    <t>RS0618127918</t>
  </si>
  <si>
    <t>RW0511142657</t>
  </si>
  <si>
    <t>VW0220219922</t>
  </si>
  <si>
    <t>RW0817115804</t>
  </si>
  <si>
    <t>RW0515146422</t>
  </si>
  <si>
    <t>RW0407088124</t>
  </si>
  <si>
    <t>RW0210123803</t>
  </si>
  <si>
    <t>VW0622546845</t>
  </si>
  <si>
    <t>RW0118122197</t>
  </si>
  <si>
    <t>AF0721112106</t>
  </si>
  <si>
    <t>VW1223954301</t>
  </si>
  <si>
    <t>RW0114124421</t>
  </si>
  <si>
    <t>RS0721281595</t>
  </si>
  <si>
    <t>RS0713161743</t>
  </si>
  <si>
    <t>RW0211129839</t>
  </si>
  <si>
    <t>RW1015177321</t>
  </si>
  <si>
    <t>RW0511144334</t>
  </si>
  <si>
    <t>RS1220248727</t>
  </si>
  <si>
    <t>RW1218141094</t>
  </si>
  <si>
    <t>RW1220246407</t>
  </si>
  <si>
    <t>RS0913174733</t>
  </si>
  <si>
    <t>RW1108120697</t>
  </si>
  <si>
    <t>RW0307087063</t>
  </si>
  <si>
    <t>RW1011184745</t>
  </si>
  <si>
    <t>RW0218123663</t>
  </si>
  <si>
    <t>RW0422511271</t>
  </si>
  <si>
    <t>JW0822578491</t>
  </si>
  <si>
    <t>RW1210175423</t>
  </si>
  <si>
    <t>RW0403000922</t>
  </si>
  <si>
    <t>RW0605056007</t>
  </si>
  <si>
    <t>RW0208106256</t>
  </si>
  <si>
    <t>RW0117106604</t>
  </si>
  <si>
    <t>RW0615151177</t>
  </si>
  <si>
    <t>RW0522528330</t>
  </si>
  <si>
    <t>RS0820235151</t>
  </si>
  <si>
    <t>RW0323706204</t>
  </si>
  <si>
    <t>RW0605054193</t>
  </si>
  <si>
    <t>RW0412131643</t>
  </si>
  <si>
    <t>RW0118122495</t>
  </si>
  <si>
    <t>RD1210173713</t>
  </si>
  <si>
    <t>RW0805060342</t>
  </si>
  <si>
    <t>RW0118121932</t>
  </si>
  <si>
    <t>RW0817116009</t>
  </si>
  <si>
    <t>RW0712140591</t>
  </si>
  <si>
    <t>RW0308107414</t>
  </si>
  <si>
    <t>RW0210124124</t>
  </si>
  <si>
    <t>RW1107101007</t>
  </si>
  <si>
    <t>RW0706072676</t>
  </si>
  <si>
    <t>RW1010159122</t>
  </si>
  <si>
    <t>RW0711152816</t>
  </si>
  <si>
    <t>RW0409126707</t>
  </si>
  <si>
    <t>RW0810149041</t>
  </si>
  <si>
    <t>RW0119142752</t>
  </si>
  <si>
    <t>RS0818132672</t>
  </si>
  <si>
    <t>RW0212128390</t>
  </si>
  <si>
    <t>RG1003000031</t>
  </si>
  <si>
    <t>VT0122482707</t>
  </si>
  <si>
    <t>RW1120243767</t>
  </si>
  <si>
    <t>RW1012146563</t>
  </si>
  <si>
    <t>RW0604012079</t>
  </si>
  <si>
    <t>RW0710141349</t>
  </si>
  <si>
    <t>RS0721281761</t>
  </si>
  <si>
    <t>RW1003005078</t>
  </si>
  <si>
    <t>RW0618127885</t>
  </si>
  <si>
    <t>RW0311132718</t>
  </si>
  <si>
    <t>RW0607093195</t>
  </si>
  <si>
    <t>RS0918136644</t>
  </si>
  <si>
    <t>RW1104019656</t>
  </si>
  <si>
    <t>RW0310126622</t>
  </si>
  <si>
    <t>RW1009139404</t>
  </si>
  <si>
    <t>RW1013200998</t>
  </si>
  <si>
    <t>RW0904015122</t>
  </si>
  <si>
    <t>RW0105036293</t>
  </si>
  <si>
    <t>VT0220222457</t>
  </si>
  <si>
    <t>VT0721283239</t>
  </si>
  <si>
    <t>RW0213126901</t>
  </si>
  <si>
    <t>RW0610136305</t>
  </si>
  <si>
    <t>RW0210123325</t>
  </si>
  <si>
    <t>RS1118139737</t>
  </si>
  <si>
    <t>RW1012147629</t>
  </si>
  <si>
    <t>RW1010159052</t>
  </si>
  <si>
    <t>RW0505051252</t>
  </si>
  <si>
    <t>RW0704013011</t>
  </si>
  <si>
    <t>RW1018137556</t>
  </si>
  <si>
    <t>RW0409127395</t>
  </si>
  <si>
    <t>RW0904014844</t>
  </si>
  <si>
    <t>RW0821295424</t>
  </si>
  <si>
    <t>RW0308107638</t>
  </si>
  <si>
    <t>RW0323700060</t>
  </si>
  <si>
    <t>RS1123932717</t>
  </si>
  <si>
    <t>RW0512134950</t>
  </si>
  <si>
    <t>RW0111124837</t>
  </si>
  <si>
    <t>VW1223956617</t>
  </si>
  <si>
    <t>RW0108104791</t>
  </si>
  <si>
    <t>RW1120244014</t>
  </si>
  <si>
    <t>RW0608112925</t>
  </si>
  <si>
    <t>RW0210122813</t>
  </si>
  <si>
    <t>RW0315139931</t>
  </si>
  <si>
    <t>RW1206083473</t>
  </si>
  <si>
    <t>RS0121254106</t>
  </si>
  <si>
    <t>RW0210122543</t>
  </si>
  <si>
    <t>RW0810149040</t>
  </si>
  <si>
    <t>RS0213126308</t>
  </si>
  <si>
    <t>RW0907096905</t>
  </si>
  <si>
    <t>RW0911180000</t>
  </si>
  <si>
    <t>RW0105036886</t>
  </si>
  <si>
    <t>RW0105037091</t>
  </si>
  <si>
    <t>RW0210123149</t>
  </si>
  <si>
    <t>RW0222495501</t>
  </si>
  <si>
    <t>RW0910152587</t>
  </si>
  <si>
    <t>RW0403000934</t>
  </si>
  <si>
    <t>RW0310125599</t>
  </si>
  <si>
    <t>RW1013189889</t>
  </si>
  <si>
    <t>RW0323700121</t>
  </si>
  <si>
    <t>RS0913171212</t>
  </si>
  <si>
    <t>RW1217120881</t>
  </si>
  <si>
    <t>RW1117119375</t>
  </si>
  <si>
    <t>RW0705056830</t>
  </si>
  <si>
    <t>RW1208122409</t>
  </si>
  <si>
    <t>RW1104020658</t>
  </si>
  <si>
    <t>RW0605055653</t>
  </si>
  <si>
    <t>VT0223672758</t>
  </si>
  <si>
    <t>RS0221256293</t>
  </si>
  <si>
    <t>RS0723822736</t>
  </si>
  <si>
    <t>RW1222634459</t>
  </si>
  <si>
    <t>RS1020240474</t>
  </si>
  <si>
    <t>RW0614190554</t>
  </si>
  <si>
    <t>RS0619157643</t>
  </si>
  <si>
    <t>RW0511143217</t>
  </si>
  <si>
    <t>RW0709133295</t>
  </si>
  <si>
    <t>RW0904014879</t>
  </si>
  <si>
    <t>RW1012147565</t>
  </si>
  <si>
    <t>RW0410129415</t>
  </si>
  <si>
    <t>RW0711155981</t>
  </si>
  <si>
    <t>VW0222490857</t>
  </si>
  <si>
    <t>RW0610137335</t>
  </si>
  <si>
    <t>RS0920238337</t>
  </si>
  <si>
    <t>RW0409126606</t>
  </si>
  <si>
    <t>RW0708114550</t>
  </si>
  <si>
    <t>RW0213126795</t>
  </si>
  <si>
    <t>RW1204033739</t>
  </si>
  <si>
    <t>RW1120244502</t>
  </si>
  <si>
    <t>RW1111191047</t>
  </si>
  <si>
    <t>RW0704012545</t>
  </si>
  <si>
    <t>RW1110165414</t>
  </si>
  <si>
    <t>RW0510134389</t>
  </si>
  <si>
    <t>RS0721288778</t>
  </si>
  <si>
    <t>VT0223672327</t>
  </si>
  <si>
    <t>RW1210175382</t>
  </si>
  <si>
    <t>RS0318124647</t>
  </si>
  <si>
    <t>RW0617111924</t>
  </si>
  <si>
    <t>RW0811167837</t>
  </si>
  <si>
    <t>RW0409126384</t>
  </si>
  <si>
    <t>RW1110164835</t>
  </si>
  <si>
    <t>RW1207103647</t>
  </si>
  <si>
    <t>RW0503001472</t>
  </si>
  <si>
    <t>RW0308107765</t>
  </si>
  <si>
    <t>RS1018137660</t>
  </si>
  <si>
    <t>RW0409126383</t>
  </si>
  <si>
    <t>RS0622546350</t>
  </si>
  <si>
    <t>VW0523772760</t>
  </si>
  <si>
    <t>RW0910152351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</si>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</sst>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dd"/>
  </numFmts>
  <fonts count="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6"/>
      <color theme="1"/>
      <name val="Bahnschrift Light SemiCondensed"/>
      <family val="2"/>
    </font>
    <font>
      <b/>
      <sz val="11"/>
      <color theme="0"/>
      <name val="Arial Black"/>
      <family val="2"/>
    </font>
    <font>
      <sz val="11"/>
      <color theme="0"/>
      <name val="Arial Black"/>
      <family val="2"/>
    </font>
    <font>
      <sz val="18"/>
      <color theme="1"/>
      <name val="Arial Black"/>
      <family val="2"/>
    </font>
    <font>
      <b/>
      <sz val="11"/>
      <color theme="1"/>
      <name val="Arial Black"/>
      <family val="2"/>
    </font>
    <font>
      <b/>
      <sz val="12"/>
      <color rgb="FF000000"/>
      <name val="Calibri"/>
      <family val="2"/>
      <scheme val="minor"/>
    </font>
    <font>
      <b/>
      <sz val="18"/>
      <color theme="1"/>
      <name val="Arial Black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33CC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164" fontId="0" fillId="0" borderId="0" xfId="0" applyNumberFormat="1" applyAlignment="1">
      <alignment vertical="center"/>
    </xf>
    <xf numFmtId="0" fontId="0" fillId="0" borderId="0" xfId="0" applyAlignment="1"/>
    <xf numFmtId="16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4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165" fontId="0" fillId="4" borderId="1" xfId="0" applyNumberFormat="1" applyFill="1" applyBorder="1"/>
    <xf numFmtId="0" fontId="0" fillId="0" borderId="1" xfId="0" applyBorder="1" applyAlignment="1">
      <alignment vertical="center"/>
    </xf>
    <xf numFmtId="0" fontId="6" fillId="7" borderId="1" xfId="0" applyFont="1" applyFill="1" applyBorder="1" applyAlignment="1">
      <alignment textRotation="90"/>
    </xf>
    <xf numFmtId="0" fontId="0" fillId="0" borderId="1" xfId="0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/>
    </xf>
    <xf numFmtId="165" fontId="8" fillId="4" borderId="2" xfId="0" applyNumberFormat="1" applyFont="1" applyFill="1" applyBorder="1" applyAlignment="1">
      <alignment horizontal="center" vertical="center" textRotation="45"/>
    </xf>
    <xf numFmtId="165" fontId="8" fillId="4" borderId="3" xfId="0" applyNumberFormat="1" applyFont="1" applyFill="1" applyBorder="1" applyAlignment="1">
      <alignment horizontal="center" vertical="center" textRotation="45"/>
    </xf>
    <xf numFmtId="0" fontId="5" fillId="4" borderId="1" xfId="0" applyFont="1" applyFill="1" applyBorder="1" applyAlignment="1">
      <alignment horizontal="center" vertical="center" textRotation="45"/>
    </xf>
    <xf numFmtId="0" fontId="2" fillId="2" borderId="0" xfId="0" applyFont="1" applyFill="1" applyAlignment="1">
      <alignment horizontal="center" vertical="center"/>
    </xf>
    <xf numFmtId="16" fontId="3" fillId="3" borderId="0" xfId="0" applyNumberFormat="1" applyFont="1" applyFill="1" applyAlignment="1">
      <alignment horizontal="left" vertical="center"/>
    </xf>
    <xf numFmtId="0" fontId="0" fillId="0" borderId="0" xfId="0" applyAlignment="1">
      <alignment horizontal="center"/>
    </xf>
    <xf numFmtId="16" fontId="4" fillId="3" borderId="0" xfId="0" applyNumberFormat="1" applyFont="1" applyFill="1" applyAlignment="1">
      <alignment horizontal="left" vertical="center"/>
    </xf>
  </cellXfs>
  <cellStyles count="1">
    <cellStyle name="Normal" xfId="0" builtinId="0"/>
  </cellStyles>
  <dxfs count="18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fgColor rgb="FF00B050"/>
          <bgColor rgb="FF00B050"/>
        </patternFill>
      </fill>
    </dxf>
    <dxf>
      <font>
        <b/>
        <i val="0"/>
      </font>
      <fill>
        <patternFill>
          <fgColor rgb="FF00B050"/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fgColor rgb="FF00B050"/>
          <bgColor rgb="FF00B050"/>
        </patternFill>
      </fill>
    </dxf>
    <dxf>
      <font>
        <b/>
        <i val="0"/>
      </font>
      <fill>
        <patternFill>
          <fgColor rgb="FF00B050"/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328"/>
  <sheetViews>
    <sheetView tabSelected="1" topLeftCell="A13" zoomScaleNormal="100" workbookViewId="0">
      <selection activeCell="AH23" sqref="AH23"/>
    </sheetView>
  </sheetViews>
  <sheetFormatPr defaultRowHeight="15"/>
  <cols>
    <col min="1" max="1" width="16.7109375" customWidth="1"/>
    <col min="2" max="2" width="14.85546875" bestFit="1" customWidth="1"/>
    <col min="3" max="6" width="4.7109375" customWidth="1"/>
    <col min="7" max="7" width="4.28515625" customWidth="1"/>
    <col min="8" max="8" width="4" customWidth="1"/>
    <col min="9" max="33" width="4.7109375" customWidth="1"/>
    <col min="34" max="34" width="9.5703125" customWidth="1"/>
  </cols>
  <sheetData>
    <row r="1" spans="1:34" ht="46.5" customHeight="1">
      <c r="A1" s="21" t="s">
        <v>15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</row>
    <row r="2" spans="1:34" ht="23.25" customHeight="1">
      <c r="A2" s="6" t="s">
        <v>0</v>
      </c>
      <c r="B2" s="5" t="s">
        <v>5</v>
      </c>
      <c r="C2" s="2"/>
      <c r="D2" s="2"/>
      <c r="E2" s="2"/>
      <c r="F2" s="22">
        <f>DATEVALUE("1"&amp;B2&amp;"2024")</f>
        <v>45352</v>
      </c>
      <c r="G2" s="22"/>
      <c r="H2" s="22"/>
      <c r="I2" s="23" t="s">
        <v>16</v>
      </c>
      <c r="J2" s="23"/>
      <c r="K2" s="24">
        <f>EOMONTH(F2,0)</f>
        <v>45382</v>
      </c>
      <c r="L2" s="24"/>
      <c r="M2" s="24"/>
      <c r="N2" s="3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7">
        <v>2024</v>
      </c>
      <c r="AG2" s="17"/>
      <c r="AH2" s="17"/>
    </row>
    <row r="3" spans="1:34">
      <c r="A3" s="20" t="s">
        <v>1</v>
      </c>
      <c r="B3" s="20" t="s">
        <v>2</v>
      </c>
      <c r="C3" s="7">
        <f>F2</f>
        <v>45352</v>
      </c>
      <c r="D3" s="7">
        <f>IF(C3&lt;$K$2,C3+1,"")</f>
        <v>45353</v>
      </c>
      <c r="E3" s="7">
        <f t="shared" ref="E3:AG3" si="0">IF(D3&lt;$K$2,D3+1,"")</f>
        <v>45354</v>
      </c>
      <c r="F3" s="7">
        <f t="shared" si="0"/>
        <v>45355</v>
      </c>
      <c r="G3" s="7">
        <f t="shared" si="0"/>
        <v>45356</v>
      </c>
      <c r="H3" s="7">
        <f t="shared" si="0"/>
        <v>45357</v>
      </c>
      <c r="I3" s="7">
        <f t="shared" si="0"/>
        <v>45358</v>
      </c>
      <c r="J3" s="7">
        <f t="shared" si="0"/>
        <v>45359</v>
      </c>
      <c r="K3" s="7">
        <f t="shared" si="0"/>
        <v>45360</v>
      </c>
      <c r="L3" s="7">
        <f t="shared" si="0"/>
        <v>45361</v>
      </c>
      <c r="M3" s="7">
        <f t="shared" si="0"/>
        <v>45362</v>
      </c>
      <c r="N3" s="7">
        <f t="shared" si="0"/>
        <v>45363</v>
      </c>
      <c r="O3" s="7">
        <f t="shared" si="0"/>
        <v>45364</v>
      </c>
      <c r="P3" s="7">
        <f t="shared" si="0"/>
        <v>45365</v>
      </c>
      <c r="Q3" s="7">
        <f t="shared" si="0"/>
        <v>45366</v>
      </c>
      <c r="R3" s="7">
        <f t="shared" si="0"/>
        <v>45367</v>
      </c>
      <c r="S3" s="7">
        <f t="shared" si="0"/>
        <v>45368</v>
      </c>
      <c r="T3" s="7">
        <f t="shared" si="0"/>
        <v>45369</v>
      </c>
      <c r="U3" s="7">
        <f t="shared" si="0"/>
        <v>45370</v>
      </c>
      <c r="V3" s="7">
        <f t="shared" si="0"/>
        <v>45371</v>
      </c>
      <c r="W3" s="7">
        <f t="shared" si="0"/>
        <v>45372</v>
      </c>
      <c r="X3" s="7">
        <f t="shared" si="0"/>
        <v>45373</v>
      </c>
      <c r="Y3" s="7">
        <f t="shared" si="0"/>
        <v>45374</v>
      </c>
      <c r="Z3" s="7">
        <f t="shared" si="0"/>
        <v>45375</v>
      </c>
      <c r="AA3" s="7">
        <f t="shared" si="0"/>
        <v>45376</v>
      </c>
      <c r="AB3" s="7">
        <f t="shared" si="0"/>
        <v>45377</v>
      </c>
      <c r="AC3" s="7">
        <f t="shared" si="0"/>
        <v>45378</v>
      </c>
      <c r="AD3" s="7">
        <f t="shared" si="0"/>
        <v>45379</v>
      </c>
      <c r="AE3" s="7">
        <f t="shared" si="0"/>
        <v>45380</v>
      </c>
      <c r="AF3" s="7">
        <f t="shared" si="0"/>
        <v>45381</v>
      </c>
      <c r="AG3" s="7">
        <f t="shared" si="0"/>
        <v>45382</v>
      </c>
      <c r="AH3" s="18" t="s">
        <v>340</v>
      </c>
    </row>
    <row r="4" spans="1:34" ht="38.25" customHeight="1">
      <c r="A4" s="20"/>
      <c r="B4" s="20"/>
      <c r="C4" s="9" t="str">
        <f>TEXT(C3,"ddd")</f>
        <v>Fri</v>
      </c>
      <c r="D4" s="9" t="str">
        <f t="shared" ref="D4:AG4" si="1">TEXT(D3,"ddd")</f>
        <v>Sat</v>
      </c>
      <c r="E4" s="9" t="str">
        <f t="shared" si="1"/>
        <v>Sun</v>
      </c>
      <c r="F4" s="9" t="str">
        <f t="shared" si="1"/>
        <v>Mon</v>
      </c>
      <c r="G4" s="9" t="str">
        <f t="shared" si="1"/>
        <v>Tue</v>
      </c>
      <c r="H4" s="9" t="str">
        <f t="shared" si="1"/>
        <v>Wed</v>
      </c>
      <c r="I4" s="9" t="str">
        <f t="shared" si="1"/>
        <v>Thu</v>
      </c>
      <c r="J4" s="9" t="str">
        <f t="shared" si="1"/>
        <v>Fri</v>
      </c>
      <c r="K4" s="9" t="str">
        <f t="shared" si="1"/>
        <v>Sat</v>
      </c>
      <c r="L4" s="9" t="str">
        <f t="shared" si="1"/>
        <v>Sun</v>
      </c>
      <c r="M4" s="9" t="str">
        <f t="shared" si="1"/>
        <v>Mon</v>
      </c>
      <c r="N4" s="9" t="str">
        <f t="shared" si="1"/>
        <v>Tue</v>
      </c>
      <c r="O4" s="9" t="str">
        <f t="shared" si="1"/>
        <v>Wed</v>
      </c>
      <c r="P4" s="9" t="str">
        <f t="shared" si="1"/>
        <v>Thu</v>
      </c>
      <c r="Q4" s="9" t="str">
        <f t="shared" si="1"/>
        <v>Fri</v>
      </c>
      <c r="R4" s="9" t="str">
        <f t="shared" si="1"/>
        <v>Sat</v>
      </c>
      <c r="S4" s="9" t="str">
        <f t="shared" si="1"/>
        <v>Sun</v>
      </c>
      <c r="T4" s="9" t="str">
        <f t="shared" si="1"/>
        <v>Mon</v>
      </c>
      <c r="U4" s="9" t="str">
        <f t="shared" si="1"/>
        <v>Tue</v>
      </c>
      <c r="V4" s="9" t="str">
        <f t="shared" si="1"/>
        <v>Wed</v>
      </c>
      <c r="W4" s="9" t="str">
        <f t="shared" si="1"/>
        <v>Thu</v>
      </c>
      <c r="X4" s="9" t="str">
        <f t="shared" si="1"/>
        <v>Fri</v>
      </c>
      <c r="Y4" s="9" t="str">
        <f t="shared" si="1"/>
        <v>Sat</v>
      </c>
      <c r="Z4" s="9" t="str">
        <f t="shared" si="1"/>
        <v>Sun</v>
      </c>
      <c r="AA4" s="9" t="str">
        <f t="shared" si="1"/>
        <v>Mon</v>
      </c>
      <c r="AB4" s="9" t="str">
        <f t="shared" si="1"/>
        <v>Tue</v>
      </c>
      <c r="AC4" s="9" t="str">
        <f t="shared" si="1"/>
        <v>Wed</v>
      </c>
      <c r="AD4" s="9" t="str">
        <f t="shared" si="1"/>
        <v>Thu</v>
      </c>
      <c r="AE4" s="9" t="str">
        <f t="shared" si="1"/>
        <v>Fri</v>
      </c>
      <c r="AF4" s="9" t="str">
        <f t="shared" si="1"/>
        <v>Sat</v>
      </c>
      <c r="AG4" s="9" t="str">
        <f t="shared" si="1"/>
        <v>Sun</v>
      </c>
      <c r="AH4" s="19"/>
    </row>
    <row r="5" spans="1:34" s="4" customFormat="1" ht="24.95" customHeight="1">
      <c r="A5" s="11" t="s">
        <v>178</v>
      </c>
      <c r="B5" s="13" t="s">
        <v>17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8">
        <f>COUNTIF($C5:$AG5,"ph")*2 + COUNTIF($C5:$AG5,"a") + COUNTIF($C5:$AG5,"b") + COUNTIF($C5:$AG5,"c") + COUNTIF($C5:$AG5,"g") + COUNTIF($C5:$AG5,"d")*1.5 + COUNTIF($C5:$AG5,"n")*1.5</f>
        <v>0</v>
      </c>
    </row>
    <row r="6" spans="1:34" s="4" customFormat="1" ht="24.95" customHeight="1">
      <c r="A6" s="12"/>
      <c r="B6" s="14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8">
        <f>SUM($C$6:$AG$6)</f>
        <v>0</v>
      </c>
    </row>
    <row r="7" spans="1:34" s="4" customFormat="1" ht="24.95" customHeight="1">
      <c r="A7" s="11" t="s">
        <v>179</v>
      </c>
      <c r="B7" s="13" t="s">
        <v>18</v>
      </c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8">
        <f t="shared" ref="AH7:AH69" si="2">COUNTIF($C7:$AG7,"ph")*2 + COUNTIF($C7:$AG7,"a") + COUNTIF($C7:$AG7,"b") + COUNTIF($C7:$AG7,"c") + COUNTIF($C7:$AG7,"g") + COUNTIF($C7:$AG7,"d")*1.5 + COUNTIF($C7:$AG7,"n")*1.5</f>
        <v>0</v>
      </c>
    </row>
    <row r="8" spans="1:34" s="4" customFormat="1" ht="24.95" customHeight="1">
      <c r="A8" s="12"/>
      <c r="B8" s="14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8">
        <f>SUM($C$9:$AG$9)</f>
        <v>0</v>
      </c>
    </row>
    <row r="9" spans="1:34" s="4" customFormat="1" ht="24.95" customHeight="1">
      <c r="A9" s="11" t="s">
        <v>180</v>
      </c>
      <c r="B9" s="13" t="s">
        <v>19</v>
      </c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8">
        <f t="shared" si="2"/>
        <v>0</v>
      </c>
    </row>
    <row r="10" spans="1:34" s="4" customFormat="1" ht="24.95" customHeight="1">
      <c r="A10" s="12"/>
      <c r="B10" s="14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8">
        <f>SUM($C$10:$AG$10)</f>
        <v>0</v>
      </c>
    </row>
    <row r="11" spans="1:34" s="4" customFormat="1" ht="24.95" customHeight="1">
      <c r="A11" s="11" t="s">
        <v>181</v>
      </c>
      <c r="B11" s="15" t="s">
        <v>20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8">
        <f t="shared" si="2"/>
        <v>0</v>
      </c>
    </row>
    <row r="12" spans="1:34" s="4" customFormat="1" ht="24.95" customHeight="1">
      <c r="A12" s="12"/>
      <c r="B12" s="16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8">
        <f>SUM($C$12:$AG$12)</f>
        <v>0</v>
      </c>
    </row>
    <row r="13" spans="1:34" s="4" customFormat="1" ht="24.95" customHeight="1">
      <c r="A13" s="11" t="s">
        <v>182</v>
      </c>
      <c r="B13" s="13" t="s">
        <v>21</v>
      </c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8">
        <f t="shared" si="2"/>
        <v>0</v>
      </c>
    </row>
    <row r="14" spans="1:34" s="4" customFormat="1" ht="24.95" customHeight="1">
      <c r="A14" s="12"/>
      <c r="B14" s="14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8">
        <f>SUM($C$14:$AG$14)</f>
        <v>0</v>
      </c>
    </row>
    <row r="15" spans="1:34" s="4" customFormat="1" ht="24.95" customHeight="1">
      <c r="A15" s="11" t="s">
        <v>183</v>
      </c>
      <c r="B15" s="13" t="s">
        <v>22</v>
      </c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8">
        <f t="shared" si="2"/>
        <v>0</v>
      </c>
    </row>
    <row r="16" spans="1:34" s="4" customFormat="1" ht="24.95" customHeight="1">
      <c r="A16" s="12"/>
      <c r="B16" s="1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8">
        <f>SUM($C$16:$AG$16)</f>
        <v>0</v>
      </c>
    </row>
    <row r="17" spans="1:34" s="4" customFormat="1" ht="24.95" customHeight="1">
      <c r="A17" s="11" t="s">
        <v>184</v>
      </c>
      <c r="B17" s="13" t="s">
        <v>23</v>
      </c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8">
        <f t="shared" si="2"/>
        <v>0</v>
      </c>
    </row>
    <row r="18" spans="1:34" s="4" customFormat="1" ht="24.95" customHeight="1">
      <c r="A18" s="12"/>
      <c r="B18" s="14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8">
        <f>SUM($C$18:$AG$18)</f>
        <v>0</v>
      </c>
    </row>
    <row r="19" spans="1:34" s="4" customFormat="1" ht="24.95" customHeight="1">
      <c r="A19" s="11" t="s">
        <v>185</v>
      </c>
      <c r="B19" s="15" t="s">
        <v>24</v>
      </c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8">
        <f t="shared" si="2"/>
        <v>0</v>
      </c>
    </row>
    <row r="20" spans="1:34" s="4" customFormat="1" ht="24.95" customHeight="1">
      <c r="A20" s="12"/>
      <c r="B20" s="16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8">
        <f ca="1">SUM($C$20:$AH$20)</f>
        <v>0</v>
      </c>
    </row>
    <row r="21" spans="1:34" s="4" customFormat="1" ht="24.95" customHeight="1">
      <c r="A21" s="11" t="s">
        <v>186</v>
      </c>
      <c r="B21" s="13" t="s">
        <v>25</v>
      </c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8">
        <f t="shared" si="2"/>
        <v>0</v>
      </c>
    </row>
    <row r="22" spans="1:34" s="4" customFormat="1" ht="24.95" customHeight="1">
      <c r="A22" s="12"/>
      <c r="B22" s="14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8">
        <f>SUM(C22:$AG$22)</f>
        <v>0</v>
      </c>
    </row>
    <row r="23" spans="1:34" s="4" customFormat="1" ht="24.95" customHeight="1">
      <c r="A23" s="11" t="s">
        <v>187</v>
      </c>
      <c r="B23" s="13" t="s">
        <v>26</v>
      </c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8">
        <f t="shared" si="2"/>
        <v>0</v>
      </c>
    </row>
    <row r="24" spans="1:34" s="4" customFormat="1" ht="24.95" customHeight="1">
      <c r="A24" s="12"/>
      <c r="B24" s="14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8">
        <f>SUM($C$24:$AG$24)</f>
        <v>0</v>
      </c>
    </row>
    <row r="25" spans="1:34" s="4" customFormat="1" ht="24.95" customHeight="1">
      <c r="A25" s="11" t="s">
        <v>188</v>
      </c>
      <c r="B25" s="13" t="s">
        <v>27</v>
      </c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8">
        <f t="shared" si="2"/>
        <v>0</v>
      </c>
    </row>
    <row r="26" spans="1:34" s="4" customFormat="1" ht="24.95" customHeight="1">
      <c r="A26" s="12"/>
      <c r="B26" s="14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8">
        <f>SUM($C$26:$AG$26)</f>
        <v>0</v>
      </c>
    </row>
    <row r="27" spans="1:34" s="4" customFormat="1" ht="24.95" customHeight="1">
      <c r="A27" s="11" t="s">
        <v>189</v>
      </c>
      <c r="B27" s="15" t="s">
        <v>28</v>
      </c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8">
        <f t="shared" si="2"/>
        <v>0</v>
      </c>
    </row>
    <row r="28" spans="1:34" s="4" customFormat="1" ht="24.95" customHeight="1">
      <c r="A28" s="12"/>
      <c r="B28" s="16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8">
        <f>SUM($C$28:$AG$28)</f>
        <v>0</v>
      </c>
    </row>
    <row r="29" spans="1:34" s="4" customFormat="1" ht="24.95" customHeight="1">
      <c r="A29" s="11" t="s">
        <v>190</v>
      </c>
      <c r="B29" s="13" t="s">
        <v>29</v>
      </c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8">
        <f t="shared" si="2"/>
        <v>0</v>
      </c>
    </row>
    <row r="30" spans="1:34" s="4" customFormat="1" ht="24.95" customHeight="1">
      <c r="A30" s="12"/>
      <c r="B30" s="14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8">
        <f>SUM($C$30:$AG$30)</f>
        <v>0</v>
      </c>
    </row>
    <row r="31" spans="1:34" s="4" customFormat="1" ht="24.95" customHeight="1">
      <c r="A31" s="11" t="s">
        <v>191</v>
      </c>
      <c r="B31" s="13" t="s">
        <v>30</v>
      </c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8">
        <f t="shared" si="2"/>
        <v>0</v>
      </c>
    </row>
    <row r="32" spans="1:34" s="4" customFormat="1" ht="24.95" customHeight="1">
      <c r="A32" s="12"/>
      <c r="B32" s="14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8">
        <f>SUM($C$32:$AG$32)</f>
        <v>0</v>
      </c>
    </row>
    <row r="33" spans="1:34" s="4" customFormat="1" ht="24.95" customHeight="1">
      <c r="A33" s="11" t="s">
        <v>192</v>
      </c>
      <c r="B33" s="13" t="s">
        <v>31</v>
      </c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8">
        <f t="shared" si="2"/>
        <v>0</v>
      </c>
    </row>
    <row r="34" spans="1:34" s="4" customFormat="1" ht="24.95" customHeight="1">
      <c r="A34" s="12"/>
      <c r="B34" s="14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8">
        <f>SUM($C$34:$AG$34)</f>
        <v>0</v>
      </c>
    </row>
    <row r="35" spans="1:34" s="4" customFormat="1" ht="24.95" customHeight="1">
      <c r="A35" s="11" t="s">
        <v>193</v>
      </c>
      <c r="B35" s="13" t="s">
        <v>32</v>
      </c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8">
        <f t="shared" si="2"/>
        <v>0</v>
      </c>
    </row>
    <row r="36" spans="1:34" s="4" customFormat="1" ht="24.95" customHeight="1">
      <c r="A36" s="12"/>
      <c r="B36" s="14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8">
        <f>SUM($C$36:$AG$36)</f>
        <v>0</v>
      </c>
    </row>
    <row r="37" spans="1:34" s="4" customFormat="1" ht="24.95" customHeight="1">
      <c r="A37" s="11" t="s">
        <v>194</v>
      </c>
      <c r="B37" s="15" t="s">
        <v>33</v>
      </c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8">
        <f t="shared" si="2"/>
        <v>0</v>
      </c>
    </row>
    <row r="38" spans="1:34" s="4" customFormat="1" ht="24.95" customHeight="1">
      <c r="A38" s="12"/>
      <c r="B38" s="16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8">
        <f>SUM($C$38:$AG$38)</f>
        <v>0</v>
      </c>
    </row>
    <row r="39" spans="1:34" s="4" customFormat="1" ht="24.95" customHeight="1">
      <c r="A39" s="11" t="s">
        <v>195</v>
      </c>
      <c r="B39" s="13" t="s">
        <v>34</v>
      </c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8">
        <f t="shared" si="2"/>
        <v>0</v>
      </c>
    </row>
    <row r="40" spans="1:34" s="4" customFormat="1" ht="24.95" customHeight="1">
      <c r="A40" s="12"/>
      <c r="B40" s="14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8">
        <f>SUM($C$40:$AG$40)</f>
        <v>0</v>
      </c>
    </row>
    <row r="41" spans="1:34" s="4" customFormat="1" ht="24.95" customHeight="1">
      <c r="A41" s="11" t="s">
        <v>196</v>
      </c>
      <c r="B41" s="15" t="s">
        <v>35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8">
        <f t="shared" si="2"/>
        <v>0</v>
      </c>
    </row>
    <row r="42" spans="1:34" s="4" customFormat="1" ht="24.95" customHeight="1">
      <c r="A42" s="12"/>
      <c r="B42" s="16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8">
        <f>SUM($C$42:$AG$42)</f>
        <v>0</v>
      </c>
    </row>
    <row r="43" spans="1:34" s="4" customFormat="1" ht="24.95" customHeight="1">
      <c r="A43" s="11" t="s">
        <v>197</v>
      </c>
      <c r="B43" s="13" t="s">
        <v>36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8">
        <f t="shared" si="2"/>
        <v>0</v>
      </c>
    </row>
    <row r="44" spans="1:34" s="4" customFormat="1" ht="24.95" customHeight="1">
      <c r="A44" s="12"/>
      <c r="B44" s="14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8">
        <f>SUM($C$44:$AG$44)</f>
        <v>0</v>
      </c>
    </row>
    <row r="45" spans="1:34" s="4" customFormat="1" ht="24.95" customHeight="1">
      <c r="A45" s="11" t="s">
        <v>198</v>
      </c>
      <c r="B45" s="13" t="s">
        <v>37</v>
      </c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8">
        <f t="shared" si="2"/>
        <v>0</v>
      </c>
    </row>
    <row r="46" spans="1:34" s="4" customFormat="1" ht="24.95" customHeight="1">
      <c r="A46" s="12"/>
      <c r="B46" s="14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8">
        <f>SUM($C$46:$AG$46)</f>
        <v>0</v>
      </c>
    </row>
    <row r="47" spans="1:34" s="4" customFormat="1" ht="24.95" customHeight="1">
      <c r="A47" s="11" t="s">
        <v>199</v>
      </c>
      <c r="B47" s="13" t="s">
        <v>38</v>
      </c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8">
        <f t="shared" si="2"/>
        <v>0</v>
      </c>
    </row>
    <row r="48" spans="1:34" s="4" customFormat="1" ht="24.95" customHeight="1">
      <c r="A48" s="12"/>
      <c r="B48" s="14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8">
        <f>SUM($C$48:$AG$48)</f>
        <v>0</v>
      </c>
    </row>
    <row r="49" spans="1:34" s="4" customFormat="1" ht="24.95" customHeight="1">
      <c r="A49" s="11" t="s">
        <v>200</v>
      </c>
      <c r="B49" s="13" t="s">
        <v>39</v>
      </c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8">
        <f t="shared" si="2"/>
        <v>0</v>
      </c>
    </row>
    <row r="50" spans="1:34" s="4" customFormat="1" ht="24.95" customHeight="1">
      <c r="A50" s="12"/>
      <c r="B50" s="14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8">
        <f>SUM($C$50:$AG$50)</f>
        <v>0</v>
      </c>
    </row>
    <row r="51" spans="1:34" s="4" customFormat="1" ht="24.95" customHeight="1">
      <c r="A51" s="11" t="s">
        <v>201</v>
      </c>
      <c r="B51" s="15" t="s">
        <v>40</v>
      </c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8">
        <f t="shared" si="2"/>
        <v>0</v>
      </c>
    </row>
    <row r="52" spans="1:34" s="4" customFormat="1" ht="24.95" customHeight="1">
      <c r="A52" s="12"/>
      <c r="B52" s="16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8">
        <f>SUM($C$52:$AG$52)</f>
        <v>0</v>
      </c>
    </row>
    <row r="53" spans="1:34" s="4" customFormat="1" ht="24.95" customHeight="1">
      <c r="A53" s="11" t="s">
        <v>202</v>
      </c>
      <c r="B53" s="13" t="s">
        <v>41</v>
      </c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8">
        <f t="shared" si="2"/>
        <v>0</v>
      </c>
    </row>
    <row r="54" spans="1:34" s="4" customFormat="1" ht="24.95" customHeight="1">
      <c r="A54" s="12"/>
      <c r="B54" s="14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8">
        <f>SUM($C$54:$AG$54)</f>
        <v>0</v>
      </c>
    </row>
    <row r="55" spans="1:34" s="4" customFormat="1" ht="24.95" customHeight="1">
      <c r="A55" s="11" t="s">
        <v>203</v>
      </c>
      <c r="B55" s="13" t="s">
        <v>42</v>
      </c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8">
        <f t="shared" si="2"/>
        <v>0</v>
      </c>
    </row>
    <row r="56" spans="1:34" s="4" customFormat="1" ht="24.95" customHeight="1">
      <c r="A56" s="12"/>
      <c r="B56" s="14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8">
        <f>SUM($C$56:$AG$56)</f>
        <v>0</v>
      </c>
    </row>
    <row r="57" spans="1:34" s="4" customFormat="1" ht="24.95" customHeight="1">
      <c r="A57" s="11" t="s">
        <v>204</v>
      </c>
      <c r="B57" s="13" t="s">
        <v>43</v>
      </c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8">
        <f t="shared" si="2"/>
        <v>0</v>
      </c>
    </row>
    <row r="58" spans="1:34" s="4" customFormat="1" ht="24.95" customHeight="1">
      <c r="A58" s="12"/>
      <c r="B58" s="14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8">
        <f>SUM($C$58:$AG$58)</f>
        <v>0</v>
      </c>
    </row>
    <row r="59" spans="1:34" s="4" customFormat="1" ht="24.95" customHeight="1">
      <c r="A59" s="11" t="s">
        <v>205</v>
      </c>
      <c r="B59" s="13" t="s">
        <v>44</v>
      </c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8">
        <f t="shared" si="2"/>
        <v>0</v>
      </c>
    </row>
    <row r="60" spans="1:34" s="4" customFormat="1" ht="24.95" customHeight="1">
      <c r="A60" s="12"/>
      <c r="B60" s="14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8">
        <f>SUM($C$60:$AG$60)</f>
        <v>0</v>
      </c>
    </row>
    <row r="61" spans="1:34" s="4" customFormat="1" ht="24.95" customHeight="1">
      <c r="A61" s="11" t="s">
        <v>206</v>
      </c>
      <c r="B61" s="13" t="s">
        <v>45</v>
      </c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8">
        <f t="shared" si="2"/>
        <v>0</v>
      </c>
    </row>
    <row r="62" spans="1:34" s="4" customFormat="1" ht="24.95" customHeight="1">
      <c r="A62" s="12"/>
      <c r="B62" s="14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8">
        <f>SUM($C$62:$AG$62)</f>
        <v>0</v>
      </c>
    </row>
    <row r="63" spans="1:34" s="4" customFormat="1" ht="24.95" customHeight="1">
      <c r="A63" s="11" t="s">
        <v>207</v>
      </c>
      <c r="B63" s="13" t="s">
        <v>46</v>
      </c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8">
        <f t="shared" si="2"/>
        <v>0</v>
      </c>
    </row>
    <row r="64" spans="1:34" s="4" customFormat="1" ht="24.95" customHeight="1">
      <c r="A64" s="12"/>
      <c r="B64" s="14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8">
        <f>SUM($C$64:$AG$64)</f>
        <v>0</v>
      </c>
    </row>
    <row r="65" spans="1:34" s="4" customFormat="1" ht="24.95" customHeight="1">
      <c r="A65" s="11" t="s">
        <v>208</v>
      </c>
      <c r="B65" s="13" t="s">
        <v>47</v>
      </c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8">
        <f t="shared" si="2"/>
        <v>0</v>
      </c>
    </row>
    <row r="66" spans="1:34" s="4" customFormat="1" ht="24.95" customHeight="1">
      <c r="A66" s="12"/>
      <c r="B66" s="14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8">
        <f>SUM($C$66:$AG$66)</f>
        <v>0</v>
      </c>
    </row>
    <row r="67" spans="1:34" s="4" customFormat="1" ht="24.95" customHeight="1">
      <c r="A67" s="11" t="s">
        <v>209</v>
      </c>
      <c r="B67" s="15" t="s">
        <v>48</v>
      </c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8">
        <f t="shared" si="2"/>
        <v>0</v>
      </c>
    </row>
    <row r="68" spans="1:34" s="4" customFormat="1" ht="24.95" customHeight="1">
      <c r="A68" s="12"/>
      <c r="B68" s="16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8">
        <f>SUM($C$68:$AG$68)</f>
        <v>0</v>
      </c>
    </row>
    <row r="69" spans="1:34" s="4" customFormat="1" ht="24.95" customHeight="1">
      <c r="A69" s="11" t="s">
        <v>210</v>
      </c>
      <c r="B69" s="13" t="s">
        <v>49</v>
      </c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8">
        <f t="shared" si="2"/>
        <v>0</v>
      </c>
    </row>
    <row r="70" spans="1:34" s="4" customFormat="1" ht="24.95" customHeight="1">
      <c r="A70" s="12"/>
      <c r="B70" s="14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8">
        <f>SUM($C$70:$AG$70)</f>
        <v>0</v>
      </c>
    </row>
    <row r="71" spans="1:34" s="4" customFormat="1" ht="24.95" customHeight="1">
      <c r="A71" s="11" t="s">
        <v>211</v>
      </c>
      <c r="B71" s="15" t="s">
        <v>50</v>
      </c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8">
        <f t="shared" ref="AH71:AH133" si="3">COUNTIF($C71:$AG71,"ph")*2 + COUNTIF($C71:$AG71,"a") + COUNTIF($C71:$AG71,"b") + COUNTIF($C71:$AG71,"c") + COUNTIF($C71:$AG71,"g") + COUNTIF($C71:$AG71,"d")*1.5 + COUNTIF($C71:$AG71,"n")*1.5</f>
        <v>0</v>
      </c>
    </row>
    <row r="72" spans="1:34" s="4" customFormat="1" ht="24.95" customHeight="1">
      <c r="A72" s="12"/>
      <c r="B72" s="16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8">
        <f>SUM($C$72:$AG$72)</f>
        <v>0</v>
      </c>
    </row>
    <row r="73" spans="1:34" s="4" customFormat="1" ht="24.95" customHeight="1">
      <c r="A73" s="11" t="s">
        <v>212</v>
      </c>
      <c r="B73" s="13" t="s">
        <v>51</v>
      </c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8">
        <f t="shared" si="3"/>
        <v>0</v>
      </c>
    </row>
    <row r="74" spans="1:34" s="4" customFormat="1" ht="24.95" customHeight="1">
      <c r="A74" s="12"/>
      <c r="B74" s="14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8">
        <f>SUM($C$74:$AG$74)</f>
        <v>0</v>
      </c>
    </row>
    <row r="75" spans="1:34" s="4" customFormat="1" ht="24.95" customHeight="1">
      <c r="A75" s="11" t="s">
        <v>213</v>
      </c>
      <c r="B75" s="15" t="s">
        <v>52</v>
      </c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8">
        <f t="shared" si="3"/>
        <v>0</v>
      </c>
    </row>
    <row r="76" spans="1:34" s="4" customFormat="1" ht="24.95" customHeight="1">
      <c r="A76" s="12"/>
      <c r="B76" s="16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8">
        <f>SUM($C$76:$AG$76)</f>
        <v>0</v>
      </c>
    </row>
    <row r="77" spans="1:34" s="4" customFormat="1" ht="24.95" customHeight="1">
      <c r="A77" s="11" t="s">
        <v>214</v>
      </c>
      <c r="B77" s="13" t="s">
        <v>53</v>
      </c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8">
        <f t="shared" si="3"/>
        <v>0</v>
      </c>
    </row>
    <row r="78" spans="1:34" s="4" customFormat="1" ht="24.95" customHeight="1">
      <c r="A78" s="12"/>
      <c r="B78" s="14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8">
        <f>SUM(C78:AG78)</f>
        <v>0</v>
      </c>
    </row>
    <row r="79" spans="1:34" s="4" customFormat="1" ht="24.95" customHeight="1">
      <c r="A79" s="11" t="s">
        <v>215</v>
      </c>
      <c r="B79" s="13" t="s">
        <v>54</v>
      </c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8">
        <f t="shared" si="3"/>
        <v>0</v>
      </c>
    </row>
    <row r="80" spans="1:34" s="4" customFormat="1" ht="24.95" customHeight="1">
      <c r="A80" s="12"/>
      <c r="B80" s="14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8">
        <f>SUM(C80:AG80)</f>
        <v>0</v>
      </c>
    </row>
    <row r="81" spans="1:34" s="4" customFormat="1" ht="24.95" customHeight="1">
      <c r="A81" s="11" t="s">
        <v>216</v>
      </c>
      <c r="B81" s="13" t="s">
        <v>55</v>
      </c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8">
        <f t="shared" si="3"/>
        <v>0</v>
      </c>
    </row>
    <row r="82" spans="1:34" s="4" customFormat="1" ht="24.95" customHeight="1">
      <c r="A82" s="12"/>
      <c r="B82" s="14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8">
        <f ca="1">SUM(C82:AH82)</f>
        <v>0</v>
      </c>
    </row>
    <row r="83" spans="1:34" s="4" customFormat="1" ht="24.95" customHeight="1">
      <c r="A83" s="11" t="s">
        <v>217</v>
      </c>
      <c r="B83" s="15" t="s">
        <v>56</v>
      </c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8">
        <f t="shared" si="3"/>
        <v>0</v>
      </c>
    </row>
    <row r="84" spans="1:34" s="4" customFormat="1" ht="24.95" customHeight="1">
      <c r="A84" s="12"/>
      <c r="B84" s="16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8">
        <f>SUM(C84:AG84)</f>
        <v>0</v>
      </c>
    </row>
    <row r="85" spans="1:34" s="4" customFormat="1" ht="24.95" customHeight="1">
      <c r="A85" s="11" t="s">
        <v>218</v>
      </c>
      <c r="B85" s="15" t="s">
        <v>57</v>
      </c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8">
        <f t="shared" si="3"/>
        <v>0</v>
      </c>
    </row>
    <row r="86" spans="1:34" s="4" customFormat="1" ht="24.95" customHeight="1">
      <c r="A86" s="12"/>
      <c r="B86" s="16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8">
        <f>SUM(C86:AG86)</f>
        <v>0</v>
      </c>
    </row>
    <row r="87" spans="1:34" s="4" customFormat="1" ht="24.95" customHeight="1">
      <c r="A87" s="11" t="s">
        <v>219</v>
      </c>
      <c r="B87" s="13" t="s">
        <v>58</v>
      </c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8">
        <f t="shared" si="3"/>
        <v>0</v>
      </c>
    </row>
    <row r="88" spans="1:34" s="4" customFormat="1" ht="24.95" customHeight="1">
      <c r="A88" s="12"/>
      <c r="B88" s="14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8">
        <f>SUM(C88:AG88)</f>
        <v>0</v>
      </c>
    </row>
    <row r="89" spans="1:34" s="4" customFormat="1" ht="24.95" customHeight="1">
      <c r="A89" s="11" t="s">
        <v>220</v>
      </c>
      <c r="B89" s="13" t="s">
        <v>59</v>
      </c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8">
        <f t="shared" si="3"/>
        <v>0</v>
      </c>
    </row>
    <row r="90" spans="1:34" s="4" customFormat="1" ht="24.95" customHeight="1">
      <c r="A90" s="12"/>
      <c r="B90" s="14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8">
        <f>SUM(C90:AG90)</f>
        <v>0</v>
      </c>
    </row>
    <row r="91" spans="1:34" s="4" customFormat="1" ht="24.95" customHeight="1">
      <c r="A91" s="11" t="s">
        <v>221</v>
      </c>
      <c r="B91" s="13" t="s">
        <v>60</v>
      </c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8">
        <f t="shared" si="3"/>
        <v>0</v>
      </c>
    </row>
    <row r="92" spans="1:34" s="4" customFormat="1" ht="24.95" customHeight="1">
      <c r="A92" s="12"/>
      <c r="B92" s="14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8">
        <f>SUM(C92:AG92)</f>
        <v>0</v>
      </c>
    </row>
    <row r="93" spans="1:34" s="4" customFormat="1" ht="24.95" customHeight="1">
      <c r="A93" s="11" t="s">
        <v>222</v>
      </c>
      <c r="B93" s="13" t="s">
        <v>61</v>
      </c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8">
        <f t="shared" si="3"/>
        <v>0</v>
      </c>
    </row>
    <row r="94" spans="1:34" s="4" customFormat="1" ht="24.95" customHeight="1">
      <c r="A94" s="12"/>
      <c r="B94" s="14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8">
        <f>SUM($C$74:$AG$74)</f>
        <v>0</v>
      </c>
    </row>
    <row r="95" spans="1:34" s="4" customFormat="1" ht="24.95" customHeight="1">
      <c r="A95" s="11" t="s">
        <v>223</v>
      </c>
      <c r="B95" s="13" t="s">
        <v>62</v>
      </c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8">
        <f t="shared" si="3"/>
        <v>0</v>
      </c>
    </row>
    <row r="96" spans="1:34" s="4" customFormat="1" ht="24.95" customHeight="1">
      <c r="A96" s="12"/>
      <c r="B96" s="14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8">
        <f>SUM(C96:AG96)</f>
        <v>0</v>
      </c>
    </row>
    <row r="97" spans="1:34" s="4" customFormat="1" ht="24.95" customHeight="1">
      <c r="A97" s="11" t="s">
        <v>224</v>
      </c>
      <c r="B97" s="15" t="s">
        <v>63</v>
      </c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8">
        <f t="shared" si="3"/>
        <v>0</v>
      </c>
    </row>
    <row r="98" spans="1:34" s="4" customFormat="1" ht="24.95" customHeight="1">
      <c r="A98" s="12"/>
      <c r="B98" s="16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8">
        <f>SUM(C98:AG98)</f>
        <v>0</v>
      </c>
    </row>
    <row r="99" spans="1:34" s="4" customFormat="1" ht="24.95" customHeight="1">
      <c r="A99" s="11" t="s">
        <v>225</v>
      </c>
      <c r="B99" s="13" t="s">
        <v>64</v>
      </c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8">
        <f t="shared" si="3"/>
        <v>0</v>
      </c>
    </row>
    <row r="100" spans="1:34" s="4" customFormat="1" ht="24.95" customHeight="1">
      <c r="A100" s="12"/>
      <c r="B100" s="14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8">
        <f>SUM(C100:AG100)</f>
        <v>0</v>
      </c>
    </row>
    <row r="101" spans="1:34" s="4" customFormat="1" ht="24.95" customHeight="1">
      <c r="A101" s="11" t="s">
        <v>226</v>
      </c>
      <c r="B101" s="13" t="s">
        <v>65</v>
      </c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8">
        <f t="shared" si="3"/>
        <v>0</v>
      </c>
    </row>
    <row r="102" spans="1:34" s="4" customFormat="1" ht="24.95" customHeight="1">
      <c r="A102" s="12"/>
      <c r="B102" s="14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8">
        <f>SUM(C102:AG102)</f>
        <v>0</v>
      </c>
    </row>
    <row r="103" spans="1:34" s="4" customFormat="1" ht="24.95" customHeight="1">
      <c r="A103" s="11" t="s">
        <v>227</v>
      </c>
      <c r="B103" s="13" t="s">
        <v>66</v>
      </c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8">
        <f t="shared" si="3"/>
        <v>0</v>
      </c>
    </row>
    <row r="104" spans="1:34" s="4" customFormat="1" ht="24.95" customHeight="1">
      <c r="A104" s="12"/>
      <c r="B104" s="14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8">
        <f>SUM(C104:AG104)</f>
        <v>0</v>
      </c>
    </row>
    <row r="105" spans="1:34" s="4" customFormat="1" ht="24.95" customHeight="1">
      <c r="A105" s="11" t="s">
        <v>228</v>
      </c>
      <c r="B105" s="13" t="s">
        <v>67</v>
      </c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8">
        <f t="shared" si="3"/>
        <v>0</v>
      </c>
    </row>
    <row r="106" spans="1:34" s="4" customFormat="1" ht="24.95" customHeight="1">
      <c r="A106" s="12"/>
      <c r="B106" s="14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8">
        <f>SUM(C106:AG106)</f>
        <v>0</v>
      </c>
    </row>
    <row r="107" spans="1:34" s="4" customFormat="1" ht="24.95" customHeight="1">
      <c r="A107" s="11" t="s">
        <v>229</v>
      </c>
      <c r="B107" s="13" t="s">
        <v>68</v>
      </c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8">
        <f t="shared" si="3"/>
        <v>0</v>
      </c>
    </row>
    <row r="108" spans="1:34" s="4" customFormat="1" ht="24.95" customHeight="1">
      <c r="A108" s="12"/>
      <c r="B108" s="14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8">
        <f>SUM(C108:AG108)</f>
        <v>0</v>
      </c>
    </row>
    <row r="109" spans="1:34" s="4" customFormat="1" ht="24.95" customHeight="1">
      <c r="A109" s="11" t="s">
        <v>230</v>
      </c>
      <c r="B109" s="13" t="s">
        <v>69</v>
      </c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8">
        <f t="shared" si="3"/>
        <v>0</v>
      </c>
    </row>
    <row r="110" spans="1:34" s="4" customFormat="1" ht="24.95" customHeight="1">
      <c r="A110" s="12"/>
      <c r="B110" s="14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8">
        <f>SUM(C110:AG110)</f>
        <v>0</v>
      </c>
    </row>
    <row r="111" spans="1:34" s="4" customFormat="1" ht="24.95" customHeight="1">
      <c r="A111" s="11" t="s">
        <v>231</v>
      </c>
      <c r="B111" s="13" t="s">
        <v>70</v>
      </c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8">
        <f t="shared" si="3"/>
        <v>0</v>
      </c>
    </row>
    <row r="112" spans="1:34" s="4" customFormat="1" ht="24.95" customHeight="1">
      <c r="A112" s="12"/>
      <c r="B112" s="14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8">
        <f>SUM(C112:AG112)</f>
        <v>0</v>
      </c>
    </row>
    <row r="113" spans="1:34" s="4" customFormat="1" ht="24.95" customHeight="1">
      <c r="A113" s="11" t="s">
        <v>232</v>
      </c>
      <c r="B113" s="13" t="s">
        <v>71</v>
      </c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8">
        <f t="shared" si="3"/>
        <v>0</v>
      </c>
    </row>
    <row r="114" spans="1:34" s="4" customFormat="1" ht="24.95" customHeight="1">
      <c r="A114" s="12"/>
      <c r="B114" s="14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8">
        <f>SUM(C114:AG114)</f>
        <v>0</v>
      </c>
    </row>
    <row r="115" spans="1:34" s="4" customFormat="1" ht="24.95" customHeight="1">
      <c r="A115" s="11" t="s">
        <v>233</v>
      </c>
      <c r="B115" s="13" t="s">
        <v>72</v>
      </c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8">
        <f t="shared" si="3"/>
        <v>0</v>
      </c>
    </row>
    <row r="116" spans="1:34" s="4" customFormat="1" ht="24.95" customHeight="1">
      <c r="A116" s="12"/>
      <c r="B116" s="14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8">
        <f ca="1">SUM(C116:AH116)</f>
        <v>0</v>
      </c>
    </row>
    <row r="117" spans="1:34" s="4" customFormat="1" ht="24.95" customHeight="1">
      <c r="A117" s="11" t="s">
        <v>234</v>
      </c>
      <c r="B117" s="13" t="s">
        <v>73</v>
      </c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8">
        <f t="shared" si="3"/>
        <v>0</v>
      </c>
    </row>
    <row r="118" spans="1:34" s="4" customFormat="1" ht="24.95" customHeight="1">
      <c r="A118" s="12"/>
      <c r="B118" s="14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8">
        <f>SUM(C118:AG118)</f>
        <v>0</v>
      </c>
    </row>
    <row r="119" spans="1:34" s="4" customFormat="1" ht="24.95" customHeight="1">
      <c r="A119" s="11" t="s">
        <v>235</v>
      </c>
      <c r="B119" s="13" t="s">
        <v>74</v>
      </c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8">
        <f t="shared" si="3"/>
        <v>0</v>
      </c>
    </row>
    <row r="120" spans="1:34" s="4" customFormat="1" ht="24.95" customHeight="1">
      <c r="A120" s="12"/>
      <c r="B120" s="14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8">
        <f>SUM(C120:AG120)</f>
        <v>0</v>
      </c>
    </row>
    <row r="121" spans="1:34" s="4" customFormat="1" ht="24.95" customHeight="1">
      <c r="A121" s="11" t="s">
        <v>236</v>
      </c>
      <c r="B121" s="15" t="s">
        <v>75</v>
      </c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8">
        <f t="shared" si="3"/>
        <v>0</v>
      </c>
    </row>
    <row r="122" spans="1:34" s="4" customFormat="1" ht="24.95" customHeight="1">
      <c r="A122" s="12"/>
      <c r="B122" s="16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8">
        <f>SUM(C122:AG122)</f>
        <v>0</v>
      </c>
    </row>
    <row r="123" spans="1:34" s="4" customFormat="1" ht="24.95" customHeight="1">
      <c r="A123" s="11" t="s">
        <v>237</v>
      </c>
      <c r="B123" s="15" t="s">
        <v>76</v>
      </c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8">
        <f t="shared" si="3"/>
        <v>0</v>
      </c>
    </row>
    <row r="124" spans="1:34" s="4" customFormat="1" ht="24.95" customHeight="1">
      <c r="A124" s="12"/>
      <c r="B124" s="16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8">
        <f>SUM(C124:AG124)</f>
        <v>0</v>
      </c>
    </row>
    <row r="125" spans="1:34" s="4" customFormat="1" ht="24.95" customHeight="1">
      <c r="A125" s="11" t="s">
        <v>238</v>
      </c>
      <c r="B125" s="13" t="s">
        <v>77</v>
      </c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8">
        <f t="shared" si="3"/>
        <v>0</v>
      </c>
    </row>
    <row r="126" spans="1:34" s="4" customFormat="1" ht="24.95" customHeight="1">
      <c r="A126" s="12"/>
      <c r="B126" s="14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8">
        <f>SUM(C126:AG126)</f>
        <v>0</v>
      </c>
    </row>
    <row r="127" spans="1:34" s="4" customFormat="1" ht="24.95" customHeight="1">
      <c r="A127" s="11" t="s">
        <v>239</v>
      </c>
      <c r="B127" s="13" t="s">
        <v>78</v>
      </c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8">
        <f t="shared" si="3"/>
        <v>0</v>
      </c>
    </row>
    <row r="128" spans="1:34" s="4" customFormat="1" ht="24.95" customHeight="1">
      <c r="A128" s="12"/>
      <c r="B128" s="14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8">
        <f>SUM(C128:AG128)</f>
        <v>0</v>
      </c>
    </row>
    <row r="129" spans="1:34" s="4" customFormat="1" ht="24.95" customHeight="1">
      <c r="A129" s="11" t="s">
        <v>240</v>
      </c>
      <c r="B129" s="13" t="s">
        <v>79</v>
      </c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8">
        <f t="shared" si="3"/>
        <v>0</v>
      </c>
    </row>
    <row r="130" spans="1:34" s="4" customFormat="1" ht="24.95" customHeight="1">
      <c r="A130" s="12"/>
      <c r="B130" s="14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8">
        <f>SUM(C130:AG130)</f>
        <v>0</v>
      </c>
    </row>
    <row r="131" spans="1:34" s="4" customFormat="1" ht="24.95" customHeight="1">
      <c r="A131" s="11" t="s">
        <v>241</v>
      </c>
      <c r="B131" s="13" t="s">
        <v>80</v>
      </c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8">
        <f t="shared" si="3"/>
        <v>0</v>
      </c>
    </row>
    <row r="132" spans="1:34" s="4" customFormat="1" ht="24.95" customHeight="1">
      <c r="A132" s="12"/>
      <c r="B132" s="14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8">
        <f>SUM(C132:AG132)</f>
        <v>0</v>
      </c>
    </row>
    <row r="133" spans="1:34" s="4" customFormat="1" ht="24.95" customHeight="1">
      <c r="A133" s="11" t="s">
        <v>242</v>
      </c>
      <c r="B133" s="15" t="s">
        <v>81</v>
      </c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8">
        <f t="shared" si="3"/>
        <v>0</v>
      </c>
    </row>
    <row r="134" spans="1:34" s="4" customFormat="1" ht="24.95" customHeight="1">
      <c r="A134" s="12"/>
      <c r="B134" s="16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8">
        <f>SUM(C134:AG134)</f>
        <v>0</v>
      </c>
    </row>
    <row r="135" spans="1:34" s="4" customFormat="1" ht="24.95" customHeight="1">
      <c r="A135" s="11" t="s">
        <v>243</v>
      </c>
      <c r="B135" s="13" t="s">
        <v>82</v>
      </c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8">
        <f t="shared" ref="AH135:AH197" si="4">COUNTIF($C135:$AG135,"ph")*2 + COUNTIF($C135:$AG135,"a") + COUNTIF($C135:$AG135,"b") + COUNTIF($C135:$AG135,"c") + COUNTIF($C135:$AG135,"g") + COUNTIF($C135:$AG135,"d")*1.5 + COUNTIF($C135:$AG135,"n")*1.5</f>
        <v>0</v>
      </c>
    </row>
    <row r="136" spans="1:34" s="4" customFormat="1" ht="24.95" customHeight="1">
      <c r="A136" s="12"/>
      <c r="B136" s="14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8">
        <f>SUM(C136:AG136)</f>
        <v>0</v>
      </c>
    </row>
    <row r="137" spans="1:34" s="4" customFormat="1" ht="24.95" customHeight="1">
      <c r="A137" s="11" t="s">
        <v>244</v>
      </c>
      <c r="B137" s="13" t="s">
        <v>83</v>
      </c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8">
        <f t="shared" si="4"/>
        <v>0</v>
      </c>
    </row>
    <row r="138" spans="1:34" s="4" customFormat="1" ht="24.95" customHeight="1">
      <c r="A138" s="12"/>
      <c r="B138" s="14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8">
        <f>SUM(C138:AG138)</f>
        <v>0</v>
      </c>
    </row>
    <row r="139" spans="1:34" s="4" customFormat="1" ht="24.95" customHeight="1">
      <c r="A139" s="11" t="s">
        <v>245</v>
      </c>
      <c r="B139" s="13" t="s">
        <v>84</v>
      </c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8">
        <f t="shared" si="4"/>
        <v>0</v>
      </c>
    </row>
    <row r="140" spans="1:34" s="4" customFormat="1" ht="24.95" customHeight="1">
      <c r="A140" s="12"/>
      <c r="B140" s="14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8">
        <f>SUM(C140:AG140)</f>
        <v>0</v>
      </c>
    </row>
    <row r="141" spans="1:34" s="4" customFormat="1" ht="24.95" customHeight="1">
      <c r="A141" s="11" t="s">
        <v>246</v>
      </c>
      <c r="B141" s="13" t="s">
        <v>85</v>
      </c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8">
        <f t="shared" si="4"/>
        <v>0</v>
      </c>
    </row>
    <row r="142" spans="1:34" s="4" customFormat="1" ht="24.95" customHeight="1">
      <c r="A142" s="12"/>
      <c r="B142" s="14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8">
        <f>SUM(C142:AG142)</f>
        <v>0</v>
      </c>
    </row>
    <row r="143" spans="1:34" s="4" customFormat="1" ht="24.95" customHeight="1">
      <c r="A143" s="11" t="s">
        <v>247</v>
      </c>
      <c r="B143" s="13" t="s">
        <v>86</v>
      </c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8">
        <f t="shared" si="4"/>
        <v>0</v>
      </c>
    </row>
    <row r="144" spans="1:34" s="4" customFormat="1" ht="24.95" customHeight="1">
      <c r="A144" s="12"/>
      <c r="B144" s="14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8">
        <f>SUM(C144:AG144)</f>
        <v>0</v>
      </c>
    </row>
    <row r="145" spans="1:34" s="4" customFormat="1" ht="24.95" customHeight="1">
      <c r="A145" s="11" t="s">
        <v>248</v>
      </c>
      <c r="B145" s="13" t="s">
        <v>87</v>
      </c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8">
        <f t="shared" si="4"/>
        <v>0</v>
      </c>
    </row>
    <row r="146" spans="1:34" s="4" customFormat="1" ht="24.95" customHeight="1">
      <c r="A146" s="12"/>
      <c r="B146" s="14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8">
        <f>SUM(C146:AG146)</f>
        <v>0</v>
      </c>
    </row>
    <row r="147" spans="1:34" s="4" customFormat="1" ht="24.95" customHeight="1">
      <c r="A147" s="11" t="s">
        <v>249</v>
      </c>
      <c r="B147" s="13" t="s">
        <v>88</v>
      </c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8">
        <f t="shared" si="4"/>
        <v>0</v>
      </c>
    </row>
    <row r="148" spans="1:34" s="4" customFormat="1" ht="24.95" customHeight="1">
      <c r="A148" s="12"/>
      <c r="B148" s="14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8">
        <f>SUM(C148:AG148)</f>
        <v>0</v>
      </c>
    </row>
    <row r="149" spans="1:34" s="4" customFormat="1" ht="24.95" customHeight="1">
      <c r="A149" s="11" t="s">
        <v>250</v>
      </c>
      <c r="B149" s="13" t="s">
        <v>89</v>
      </c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8">
        <f t="shared" si="4"/>
        <v>0</v>
      </c>
    </row>
    <row r="150" spans="1:34" s="4" customFormat="1" ht="24.95" customHeight="1">
      <c r="A150" s="12"/>
      <c r="B150" s="14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8">
        <f>SUM(C150:AG150)</f>
        <v>0</v>
      </c>
    </row>
    <row r="151" spans="1:34" s="4" customFormat="1" ht="24.95" customHeight="1">
      <c r="A151" s="11" t="s">
        <v>251</v>
      </c>
      <c r="B151" s="13" t="s">
        <v>90</v>
      </c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8">
        <f t="shared" si="4"/>
        <v>0</v>
      </c>
    </row>
    <row r="152" spans="1:34" s="4" customFormat="1" ht="24.95" customHeight="1">
      <c r="A152" s="12"/>
      <c r="B152" s="14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8">
        <f>SUM(C152:AG152)</f>
        <v>0</v>
      </c>
    </row>
    <row r="153" spans="1:34" s="4" customFormat="1" ht="24.95" customHeight="1">
      <c r="A153" s="11" t="s">
        <v>252</v>
      </c>
      <c r="B153" s="13" t="s">
        <v>91</v>
      </c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8">
        <f t="shared" si="4"/>
        <v>0</v>
      </c>
    </row>
    <row r="154" spans="1:34" s="4" customFormat="1" ht="24.95" customHeight="1">
      <c r="A154" s="12"/>
      <c r="B154" s="14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8">
        <f>SUM(C154:AG154)</f>
        <v>0</v>
      </c>
    </row>
    <row r="155" spans="1:34" s="4" customFormat="1" ht="24.95" customHeight="1">
      <c r="A155" s="11" t="s">
        <v>253</v>
      </c>
      <c r="B155" s="13" t="s">
        <v>92</v>
      </c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8">
        <f t="shared" si="4"/>
        <v>0</v>
      </c>
    </row>
    <row r="156" spans="1:34" s="4" customFormat="1" ht="24.95" customHeight="1">
      <c r="A156" s="12"/>
      <c r="B156" s="14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8">
        <f>SUM(C156:AG156)</f>
        <v>0</v>
      </c>
    </row>
    <row r="157" spans="1:34" s="4" customFormat="1" ht="24.95" customHeight="1">
      <c r="A157" s="11" t="s">
        <v>254</v>
      </c>
      <c r="B157" s="13" t="s">
        <v>93</v>
      </c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8">
        <f t="shared" si="4"/>
        <v>0</v>
      </c>
    </row>
    <row r="158" spans="1:34" s="4" customFormat="1" ht="24.95" customHeight="1">
      <c r="A158" s="12"/>
      <c r="B158" s="14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8">
        <f>SUM(C158:AG158)</f>
        <v>0</v>
      </c>
    </row>
    <row r="159" spans="1:34" s="4" customFormat="1" ht="24.95" customHeight="1">
      <c r="A159" s="11" t="s">
        <v>255</v>
      </c>
      <c r="B159" s="13" t="s">
        <v>94</v>
      </c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8">
        <f t="shared" si="4"/>
        <v>0</v>
      </c>
    </row>
    <row r="160" spans="1:34" s="4" customFormat="1" ht="24.95" customHeight="1">
      <c r="A160" s="12"/>
      <c r="B160" s="14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8">
        <f>SUM(C160:AG160)</f>
        <v>0</v>
      </c>
    </row>
    <row r="161" spans="1:34" s="4" customFormat="1" ht="24.95" customHeight="1">
      <c r="A161" s="11" t="s">
        <v>256</v>
      </c>
      <c r="B161" s="13" t="s">
        <v>95</v>
      </c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8">
        <f t="shared" si="4"/>
        <v>0</v>
      </c>
    </row>
    <row r="162" spans="1:34" s="4" customFormat="1" ht="24.95" customHeight="1">
      <c r="A162" s="12"/>
      <c r="B162" s="14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8">
        <f>SUM(C162:AG162)</f>
        <v>0</v>
      </c>
    </row>
    <row r="163" spans="1:34" s="4" customFormat="1" ht="24.95" customHeight="1">
      <c r="A163" s="11" t="s">
        <v>257</v>
      </c>
      <c r="B163" s="13" t="s">
        <v>96</v>
      </c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8">
        <f t="shared" si="4"/>
        <v>0</v>
      </c>
    </row>
    <row r="164" spans="1:34" s="4" customFormat="1" ht="24.95" customHeight="1">
      <c r="A164" s="12"/>
      <c r="B164" s="14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8">
        <f>SUM(C164:AG164)</f>
        <v>0</v>
      </c>
    </row>
    <row r="165" spans="1:34" s="4" customFormat="1" ht="24.95" customHeight="1">
      <c r="A165" s="11" t="s">
        <v>258</v>
      </c>
      <c r="B165" s="15" t="s">
        <v>97</v>
      </c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8">
        <f t="shared" si="4"/>
        <v>0</v>
      </c>
    </row>
    <row r="166" spans="1:34" s="4" customFormat="1" ht="24.95" customHeight="1">
      <c r="A166" s="12"/>
      <c r="B166" s="16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8">
        <f>SUM(C166:AG166)</f>
        <v>0</v>
      </c>
    </row>
    <row r="167" spans="1:34" s="4" customFormat="1" ht="24.95" customHeight="1">
      <c r="A167" s="11" t="s">
        <v>259</v>
      </c>
      <c r="B167" s="15" t="s">
        <v>98</v>
      </c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8">
        <f t="shared" si="4"/>
        <v>0</v>
      </c>
    </row>
    <row r="168" spans="1:34" s="4" customFormat="1" ht="24.95" customHeight="1">
      <c r="A168" s="12"/>
      <c r="B168" s="16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8">
        <f>SUM(C168:AG168)</f>
        <v>0</v>
      </c>
    </row>
    <row r="169" spans="1:34" s="4" customFormat="1" ht="24.95" customHeight="1">
      <c r="A169" s="11" t="s">
        <v>260</v>
      </c>
      <c r="B169" s="13" t="s">
        <v>99</v>
      </c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8">
        <f t="shared" si="4"/>
        <v>0</v>
      </c>
    </row>
    <row r="170" spans="1:34" s="4" customFormat="1" ht="24.95" customHeight="1">
      <c r="A170" s="12"/>
      <c r="B170" s="14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8">
        <f>SUM(C170:AG170)</f>
        <v>0</v>
      </c>
    </row>
    <row r="171" spans="1:34" s="4" customFormat="1" ht="24.95" customHeight="1">
      <c r="A171" s="11" t="s">
        <v>261</v>
      </c>
      <c r="B171" s="15" t="s">
        <v>100</v>
      </c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8">
        <f t="shared" si="4"/>
        <v>0</v>
      </c>
    </row>
    <row r="172" spans="1:34" s="4" customFormat="1" ht="24.95" customHeight="1">
      <c r="A172" s="12"/>
      <c r="B172" s="16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8">
        <f>SUM(C172:AG172)</f>
        <v>0</v>
      </c>
    </row>
    <row r="173" spans="1:34" s="4" customFormat="1" ht="24.95" customHeight="1">
      <c r="A173" s="11" t="s">
        <v>262</v>
      </c>
      <c r="B173" s="13" t="s">
        <v>101</v>
      </c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8">
        <f t="shared" si="4"/>
        <v>0</v>
      </c>
    </row>
    <row r="174" spans="1:34" s="4" customFormat="1" ht="24.95" customHeight="1">
      <c r="A174" s="12"/>
      <c r="B174" s="14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8">
        <f>SUM(C174:AG174)</f>
        <v>0</v>
      </c>
    </row>
    <row r="175" spans="1:34" s="4" customFormat="1" ht="24.95" customHeight="1">
      <c r="A175" s="11" t="s">
        <v>263</v>
      </c>
      <c r="B175" s="13" t="s">
        <v>102</v>
      </c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8">
        <f t="shared" si="4"/>
        <v>0</v>
      </c>
    </row>
    <row r="176" spans="1:34" s="4" customFormat="1" ht="24.95" customHeight="1">
      <c r="A176" s="12"/>
      <c r="B176" s="14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8">
        <f>SUM(C176:AG176)</f>
        <v>0</v>
      </c>
    </row>
    <row r="177" spans="1:34" s="4" customFormat="1" ht="24.95" customHeight="1">
      <c r="A177" s="11" t="s">
        <v>264</v>
      </c>
      <c r="B177" s="13" t="s">
        <v>103</v>
      </c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8">
        <f t="shared" si="4"/>
        <v>0</v>
      </c>
    </row>
    <row r="178" spans="1:34" s="4" customFormat="1" ht="24.95" customHeight="1">
      <c r="A178" s="12"/>
      <c r="B178" s="14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8">
        <f>SUM(C178:AG178)</f>
        <v>0</v>
      </c>
    </row>
    <row r="179" spans="1:34" s="4" customFormat="1" ht="24.95" customHeight="1">
      <c r="A179" s="11" t="s">
        <v>265</v>
      </c>
      <c r="B179" s="15" t="s">
        <v>104</v>
      </c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8">
        <f t="shared" si="4"/>
        <v>0</v>
      </c>
    </row>
    <row r="180" spans="1:34" s="4" customFormat="1" ht="24.95" customHeight="1">
      <c r="A180" s="12"/>
      <c r="B180" s="16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8">
        <f>SUM(C180:AG180)</f>
        <v>0</v>
      </c>
    </row>
    <row r="181" spans="1:34" s="4" customFormat="1" ht="24.95" customHeight="1">
      <c r="A181" s="11" t="s">
        <v>266</v>
      </c>
      <c r="B181" s="13" t="s">
        <v>105</v>
      </c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8">
        <f t="shared" si="4"/>
        <v>0</v>
      </c>
    </row>
    <row r="182" spans="1:34" s="4" customFormat="1" ht="24.95" customHeight="1">
      <c r="A182" s="12"/>
      <c r="B182" s="14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8">
        <f>SUM(C182:AG183)</f>
        <v>0</v>
      </c>
    </row>
    <row r="183" spans="1:34" s="4" customFormat="1" ht="24.95" customHeight="1">
      <c r="A183" s="11" t="s">
        <v>267</v>
      </c>
      <c r="B183" s="13" t="s">
        <v>106</v>
      </c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8">
        <f t="shared" si="4"/>
        <v>0</v>
      </c>
    </row>
    <row r="184" spans="1:34" s="4" customFormat="1" ht="24.95" customHeight="1">
      <c r="A184" s="12"/>
      <c r="B184" s="14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8">
        <f>SUM(C184:AG184)</f>
        <v>0</v>
      </c>
    </row>
    <row r="185" spans="1:34" s="4" customFormat="1" ht="24.95" customHeight="1">
      <c r="A185" s="11" t="s">
        <v>268</v>
      </c>
      <c r="B185" s="13" t="s">
        <v>107</v>
      </c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8">
        <f t="shared" si="4"/>
        <v>0</v>
      </c>
    </row>
    <row r="186" spans="1:34" s="4" customFormat="1" ht="24.95" customHeight="1">
      <c r="A186" s="12"/>
      <c r="B186" s="14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8">
        <f>SUM(C186:AG186)</f>
        <v>0</v>
      </c>
    </row>
    <row r="187" spans="1:34" s="4" customFormat="1" ht="24.95" customHeight="1">
      <c r="A187" s="11" t="s">
        <v>269</v>
      </c>
      <c r="B187" s="13" t="s">
        <v>108</v>
      </c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8">
        <f t="shared" si="4"/>
        <v>0</v>
      </c>
    </row>
    <row r="188" spans="1:34" s="4" customFormat="1" ht="24.95" customHeight="1">
      <c r="A188" s="12"/>
      <c r="B188" s="14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8">
        <f>SUM(C188:AG188)</f>
        <v>0</v>
      </c>
    </row>
    <row r="189" spans="1:34" s="4" customFormat="1" ht="24.95" customHeight="1">
      <c r="A189" s="11" t="s">
        <v>270</v>
      </c>
      <c r="B189" s="13" t="s">
        <v>109</v>
      </c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8">
        <f t="shared" si="4"/>
        <v>0</v>
      </c>
    </row>
    <row r="190" spans="1:34" s="4" customFormat="1" ht="24.95" customHeight="1">
      <c r="A190" s="12"/>
      <c r="B190" s="14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8">
        <f>SUM(C190:AG190)</f>
        <v>0</v>
      </c>
    </row>
    <row r="191" spans="1:34" s="4" customFormat="1" ht="24.95" customHeight="1">
      <c r="A191" s="11" t="s">
        <v>271</v>
      </c>
      <c r="B191" s="13" t="s">
        <v>110</v>
      </c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8">
        <f t="shared" si="4"/>
        <v>0</v>
      </c>
    </row>
    <row r="192" spans="1:34" s="4" customFormat="1" ht="24.95" customHeight="1">
      <c r="A192" s="12"/>
      <c r="B192" s="14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8">
        <f>SUM(C192:AG192)</f>
        <v>0</v>
      </c>
    </row>
    <row r="193" spans="1:34" s="4" customFormat="1" ht="24.95" customHeight="1">
      <c r="A193" s="11" t="s">
        <v>272</v>
      </c>
      <c r="B193" s="13" t="s">
        <v>111</v>
      </c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8">
        <f t="shared" si="4"/>
        <v>0</v>
      </c>
    </row>
    <row r="194" spans="1:34" s="4" customFormat="1" ht="24.95" customHeight="1">
      <c r="A194" s="12"/>
      <c r="B194" s="14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8">
        <f>SUM(C194:AG194)</f>
        <v>0</v>
      </c>
    </row>
    <row r="195" spans="1:34" s="4" customFormat="1" ht="24.95" customHeight="1">
      <c r="A195" s="11" t="s">
        <v>273</v>
      </c>
      <c r="B195" s="13" t="s">
        <v>112</v>
      </c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8">
        <f t="shared" si="4"/>
        <v>0</v>
      </c>
    </row>
    <row r="196" spans="1:34" s="4" customFormat="1" ht="24.95" customHeight="1">
      <c r="A196" s="12"/>
      <c r="B196" s="14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8">
        <f>SUM(C196:AG196)</f>
        <v>0</v>
      </c>
    </row>
    <row r="197" spans="1:34" s="4" customFormat="1" ht="24.95" customHeight="1">
      <c r="A197" s="11" t="s">
        <v>274</v>
      </c>
      <c r="B197" s="15" t="s">
        <v>113</v>
      </c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8">
        <f t="shared" si="4"/>
        <v>0</v>
      </c>
    </row>
    <row r="198" spans="1:34" s="4" customFormat="1" ht="24.95" customHeight="1">
      <c r="A198" s="12"/>
      <c r="B198" s="16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8">
        <f>SUM(C198:AG198)</f>
        <v>0</v>
      </c>
    </row>
    <row r="199" spans="1:34" s="4" customFormat="1" ht="24.95" customHeight="1">
      <c r="A199" s="11" t="s">
        <v>275</v>
      </c>
      <c r="B199" s="15" t="s">
        <v>114</v>
      </c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8">
        <f t="shared" ref="AH199:AH261" si="5">COUNTIF($C199:$AG199,"ph")*2 + COUNTIF($C199:$AG199,"a") + COUNTIF($C199:$AG199,"b") + COUNTIF($C199:$AG199,"c") + COUNTIF($C199:$AG199,"g") + COUNTIF($C199:$AG199,"d")*1.5 + COUNTIF($C199:$AG199,"n")*1.5</f>
        <v>0</v>
      </c>
    </row>
    <row r="200" spans="1:34" s="4" customFormat="1" ht="24.95" customHeight="1">
      <c r="A200" s="12"/>
      <c r="B200" s="16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8">
        <f>SUM(C200:AG200)</f>
        <v>0</v>
      </c>
    </row>
    <row r="201" spans="1:34" s="4" customFormat="1" ht="24.95" customHeight="1">
      <c r="A201" s="11" t="s">
        <v>276</v>
      </c>
      <c r="B201" s="13" t="s">
        <v>115</v>
      </c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8">
        <f t="shared" si="5"/>
        <v>0</v>
      </c>
    </row>
    <row r="202" spans="1:34" s="4" customFormat="1" ht="24.95" customHeight="1">
      <c r="A202" s="12"/>
      <c r="B202" s="14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8">
        <f>SUM(C202:AG202)</f>
        <v>0</v>
      </c>
    </row>
    <row r="203" spans="1:34" s="4" customFormat="1" ht="24.95" customHeight="1">
      <c r="A203" s="11" t="s">
        <v>277</v>
      </c>
      <c r="B203" s="13" t="s">
        <v>116</v>
      </c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8">
        <f t="shared" si="5"/>
        <v>0</v>
      </c>
    </row>
    <row r="204" spans="1:34" s="4" customFormat="1" ht="24.95" customHeight="1">
      <c r="A204" s="12"/>
      <c r="B204" s="14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8">
        <f>SUM(C204:AG204)</f>
        <v>0</v>
      </c>
    </row>
    <row r="205" spans="1:34" s="4" customFormat="1" ht="24.95" customHeight="1">
      <c r="A205" s="11" t="s">
        <v>278</v>
      </c>
      <c r="B205" s="13" t="s">
        <v>117</v>
      </c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8">
        <f t="shared" si="5"/>
        <v>0</v>
      </c>
    </row>
    <row r="206" spans="1:34" s="4" customFormat="1" ht="24.95" customHeight="1">
      <c r="A206" s="12"/>
      <c r="B206" s="14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8">
        <f>SUM(C206:AG206)</f>
        <v>0</v>
      </c>
    </row>
    <row r="207" spans="1:34" s="4" customFormat="1" ht="24.95" customHeight="1">
      <c r="A207" s="11" t="s">
        <v>279</v>
      </c>
      <c r="B207" s="13" t="s">
        <v>118</v>
      </c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8">
        <f t="shared" si="5"/>
        <v>0</v>
      </c>
    </row>
    <row r="208" spans="1:34" s="4" customFormat="1" ht="24.95" customHeight="1">
      <c r="A208" s="12"/>
      <c r="B208" s="14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8">
        <f>SUM(C208:AG208)</f>
        <v>0</v>
      </c>
    </row>
    <row r="209" spans="1:34" s="4" customFormat="1" ht="24.95" customHeight="1">
      <c r="A209" s="11" t="s">
        <v>280</v>
      </c>
      <c r="B209" s="13" t="s">
        <v>119</v>
      </c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8">
        <f t="shared" si="5"/>
        <v>0</v>
      </c>
    </row>
    <row r="210" spans="1:34" s="4" customFormat="1" ht="24.95" customHeight="1">
      <c r="A210" s="12"/>
      <c r="B210" s="14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8">
        <f>SUM(C210:AG210)</f>
        <v>0</v>
      </c>
    </row>
    <row r="211" spans="1:34" s="4" customFormat="1" ht="24.95" customHeight="1">
      <c r="A211" s="11" t="s">
        <v>281</v>
      </c>
      <c r="B211" s="13" t="s">
        <v>120</v>
      </c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8">
        <f t="shared" si="5"/>
        <v>0</v>
      </c>
    </row>
    <row r="212" spans="1:34" s="4" customFormat="1" ht="24.95" customHeight="1">
      <c r="A212" s="12"/>
      <c r="B212" s="14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8">
        <f>SUM(C212:AG212)</f>
        <v>0</v>
      </c>
    </row>
    <row r="213" spans="1:34" s="4" customFormat="1" ht="24.95" customHeight="1">
      <c r="A213" s="11" t="s">
        <v>282</v>
      </c>
      <c r="B213" s="13" t="s">
        <v>120</v>
      </c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8">
        <f t="shared" si="5"/>
        <v>0</v>
      </c>
    </row>
    <row r="214" spans="1:34" s="4" customFormat="1" ht="24.95" customHeight="1">
      <c r="A214" s="12"/>
      <c r="B214" s="14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8">
        <f>SUM(C214:AG214)</f>
        <v>0</v>
      </c>
    </row>
    <row r="215" spans="1:34" s="4" customFormat="1" ht="24.95" customHeight="1">
      <c r="A215" s="11" t="s">
        <v>283</v>
      </c>
      <c r="B215" s="13" t="s">
        <v>121</v>
      </c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8">
        <f t="shared" si="5"/>
        <v>0</v>
      </c>
    </row>
    <row r="216" spans="1:34" s="4" customFormat="1" ht="24.95" customHeight="1">
      <c r="A216" s="12"/>
      <c r="B216" s="14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8">
        <f>SUM(C216:AG216)</f>
        <v>0</v>
      </c>
    </row>
    <row r="217" spans="1:34" s="4" customFormat="1" ht="24.95" customHeight="1">
      <c r="A217" s="11" t="s">
        <v>284</v>
      </c>
      <c r="B217" s="15" t="s">
        <v>122</v>
      </c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8">
        <f t="shared" si="5"/>
        <v>0</v>
      </c>
    </row>
    <row r="218" spans="1:34" s="4" customFormat="1" ht="24.95" customHeight="1">
      <c r="A218" s="12"/>
      <c r="B218" s="16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8">
        <f>SUM(C218:AG218)</f>
        <v>0</v>
      </c>
    </row>
    <row r="219" spans="1:34" s="4" customFormat="1" ht="24.95" customHeight="1">
      <c r="A219" s="11" t="s">
        <v>285</v>
      </c>
      <c r="B219" s="13" t="s">
        <v>123</v>
      </c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8">
        <f t="shared" si="5"/>
        <v>0</v>
      </c>
    </row>
    <row r="220" spans="1:34" s="4" customFormat="1" ht="24.95" customHeight="1">
      <c r="A220" s="12"/>
      <c r="B220" s="14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8">
        <f>SUM(C220:AG220)</f>
        <v>0</v>
      </c>
    </row>
    <row r="221" spans="1:34" s="4" customFormat="1" ht="24.95" customHeight="1">
      <c r="A221" s="11" t="s">
        <v>286</v>
      </c>
      <c r="B221" s="13" t="s">
        <v>124</v>
      </c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8">
        <f t="shared" si="5"/>
        <v>0</v>
      </c>
    </row>
    <row r="222" spans="1:34" s="4" customFormat="1" ht="24.95" customHeight="1">
      <c r="A222" s="12"/>
      <c r="B222" s="14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8">
        <f>SUM(C222:AG222)</f>
        <v>0</v>
      </c>
    </row>
    <row r="223" spans="1:34" s="4" customFormat="1" ht="24.95" customHeight="1">
      <c r="A223" s="11" t="s">
        <v>287</v>
      </c>
      <c r="B223" s="13" t="s">
        <v>125</v>
      </c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8">
        <f t="shared" si="5"/>
        <v>0</v>
      </c>
    </row>
    <row r="224" spans="1:34" s="4" customFormat="1" ht="24.95" customHeight="1">
      <c r="A224" s="12"/>
      <c r="B224" s="14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8">
        <f>SUM(C224:AG224)</f>
        <v>0</v>
      </c>
    </row>
    <row r="225" spans="1:34" s="4" customFormat="1" ht="24.95" customHeight="1">
      <c r="A225" s="11" t="s">
        <v>288</v>
      </c>
      <c r="B225" s="13" t="s">
        <v>126</v>
      </c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8">
        <f t="shared" si="5"/>
        <v>0</v>
      </c>
    </row>
    <row r="226" spans="1:34" s="4" customFormat="1" ht="24.95" customHeight="1">
      <c r="A226" s="12"/>
      <c r="B226" s="14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8">
        <f>SUM(C226:AG226)</f>
        <v>0</v>
      </c>
    </row>
    <row r="227" spans="1:34" s="4" customFormat="1" ht="24.95" customHeight="1">
      <c r="A227" s="11" t="s">
        <v>289</v>
      </c>
      <c r="B227" s="15" t="s">
        <v>127</v>
      </c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8">
        <f t="shared" si="5"/>
        <v>0</v>
      </c>
    </row>
    <row r="228" spans="1:34" s="4" customFormat="1" ht="24.95" customHeight="1">
      <c r="A228" s="12"/>
      <c r="B228" s="16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8">
        <f>SUM(C228:AG228)</f>
        <v>0</v>
      </c>
    </row>
    <row r="229" spans="1:34" s="4" customFormat="1" ht="24.95" customHeight="1">
      <c r="A229" s="11" t="s">
        <v>290</v>
      </c>
      <c r="B229" s="13" t="s">
        <v>128</v>
      </c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8">
        <f t="shared" si="5"/>
        <v>0</v>
      </c>
    </row>
    <row r="230" spans="1:34" s="4" customFormat="1" ht="24.95" customHeight="1">
      <c r="A230" s="12"/>
      <c r="B230" s="14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8">
        <f>SUM(C230:AG230)</f>
        <v>0</v>
      </c>
    </row>
    <row r="231" spans="1:34" s="4" customFormat="1" ht="24.95" customHeight="1">
      <c r="A231" s="11" t="s">
        <v>291</v>
      </c>
      <c r="B231" s="13" t="s">
        <v>129</v>
      </c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8">
        <f t="shared" si="5"/>
        <v>0</v>
      </c>
    </row>
    <row r="232" spans="1:34" s="4" customFormat="1" ht="24.95" customHeight="1">
      <c r="A232" s="12"/>
      <c r="B232" s="14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8">
        <f>SUM(C232:AG232)</f>
        <v>0</v>
      </c>
    </row>
    <row r="233" spans="1:34" s="4" customFormat="1" ht="24.95" customHeight="1">
      <c r="A233" s="11" t="s">
        <v>292</v>
      </c>
      <c r="B233" s="13" t="s">
        <v>130</v>
      </c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8">
        <f t="shared" si="5"/>
        <v>0</v>
      </c>
    </row>
    <row r="234" spans="1:34" s="4" customFormat="1" ht="24.95" customHeight="1">
      <c r="A234" s="12"/>
      <c r="B234" s="14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8">
        <f>SUM(C234:AG234)</f>
        <v>0</v>
      </c>
    </row>
    <row r="235" spans="1:34" s="4" customFormat="1" ht="24.95" customHeight="1">
      <c r="A235" s="11" t="s">
        <v>293</v>
      </c>
      <c r="B235" s="15" t="s">
        <v>131</v>
      </c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8">
        <f t="shared" si="5"/>
        <v>0</v>
      </c>
    </row>
    <row r="236" spans="1:34" s="4" customFormat="1" ht="24.95" customHeight="1">
      <c r="A236" s="12"/>
      <c r="B236" s="16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8">
        <f>SUM(C236:AG236)</f>
        <v>0</v>
      </c>
    </row>
    <row r="237" spans="1:34" s="4" customFormat="1" ht="24.95" customHeight="1">
      <c r="A237" s="11" t="s">
        <v>294</v>
      </c>
      <c r="B237" s="13" t="s">
        <v>132</v>
      </c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8">
        <f t="shared" si="5"/>
        <v>0</v>
      </c>
    </row>
    <row r="238" spans="1:34" s="4" customFormat="1" ht="24.95" customHeight="1">
      <c r="A238" s="12"/>
      <c r="B238" s="14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8">
        <f>SUM(C238:AG238)</f>
        <v>0</v>
      </c>
    </row>
    <row r="239" spans="1:34" s="4" customFormat="1" ht="24.95" customHeight="1">
      <c r="A239" s="11" t="s">
        <v>295</v>
      </c>
      <c r="B239" s="13" t="s">
        <v>133</v>
      </c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8">
        <f t="shared" si="5"/>
        <v>0</v>
      </c>
    </row>
    <row r="240" spans="1:34" s="4" customFormat="1" ht="24.95" customHeight="1">
      <c r="A240" s="12"/>
      <c r="B240" s="14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8">
        <f>SUM(C240:AG240)</f>
        <v>0</v>
      </c>
    </row>
    <row r="241" spans="1:34" s="4" customFormat="1" ht="24.95" customHeight="1">
      <c r="A241" s="11" t="s">
        <v>296</v>
      </c>
      <c r="B241" s="13" t="s">
        <v>134</v>
      </c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8">
        <f t="shared" si="5"/>
        <v>0</v>
      </c>
    </row>
    <row r="242" spans="1:34" s="4" customFormat="1" ht="24.95" customHeight="1">
      <c r="A242" s="12"/>
      <c r="B242" s="14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8">
        <f>SUM(C242:AG242)</f>
        <v>0</v>
      </c>
    </row>
    <row r="243" spans="1:34" s="4" customFormat="1" ht="24.95" customHeight="1">
      <c r="A243" s="11" t="s">
        <v>297</v>
      </c>
      <c r="B243" s="13" t="s">
        <v>135</v>
      </c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8">
        <f t="shared" si="5"/>
        <v>0</v>
      </c>
    </row>
    <row r="244" spans="1:34" s="4" customFormat="1" ht="24.95" customHeight="1">
      <c r="A244" s="12"/>
      <c r="B244" s="14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8">
        <f>SUM(C244:AG244)</f>
        <v>0</v>
      </c>
    </row>
    <row r="245" spans="1:34" s="4" customFormat="1" ht="24.95" customHeight="1">
      <c r="A245" s="11" t="s">
        <v>298</v>
      </c>
      <c r="B245" s="13" t="s">
        <v>136</v>
      </c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8">
        <f t="shared" si="5"/>
        <v>0</v>
      </c>
    </row>
    <row r="246" spans="1:34" s="4" customFormat="1" ht="24.95" customHeight="1">
      <c r="A246" s="12"/>
      <c r="B246" s="14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8">
        <f>SUM(C246:AG246)</f>
        <v>0</v>
      </c>
    </row>
    <row r="247" spans="1:34" s="4" customFormat="1" ht="24.95" customHeight="1">
      <c r="A247" s="11" t="s">
        <v>299</v>
      </c>
      <c r="B247" s="13" t="s">
        <v>137</v>
      </c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8">
        <f t="shared" si="5"/>
        <v>0</v>
      </c>
    </row>
    <row r="248" spans="1:34" s="4" customFormat="1" ht="24.95" customHeight="1">
      <c r="A248" s="12"/>
      <c r="B248" s="14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8">
        <f>SUM(C248:AG248)</f>
        <v>0</v>
      </c>
    </row>
    <row r="249" spans="1:34" s="4" customFormat="1" ht="24.95" customHeight="1">
      <c r="A249" s="11" t="s">
        <v>300</v>
      </c>
      <c r="B249" s="13" t="s">
        <v>138</v>
      </c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8">
        <f t="shared" si="5"/>
        <v>0</v>
      </c>
    </row>
    <row r="250" spans="1:34" s="4" customFormat="1" ht="24.95" customHeight="1">
      <c r="A250" s="12"/>
      <c r="B250" s="14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8">
        <f>SUM(C250:AG250)</f>
        <v>0</v>
      </c>
    </row>
    <row r="251" spans="1:34" s="4" customFormat="1" ht="24.95" customHeight="1">
      <c r="A251" s="11" t="s">
        <v>301</v>
      </c>
      <c r="B251" s="15" t="s">
        <v>139</v>
      </c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8">
        <f t="shared" si="5"/>
        <v>0</v>
      </c>
    </row>
    <row r="252" spans="1:34" s="4" customFormat="1" ht="24.95" customHeight="1">
      <c r="A252" s="12"/>
      <c r="B252" s="16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8">
        <f>SUM(C252:AG252)</f>
        <v>0</v>
      </c>
    </row>
    <row r="253" spans="1:34" s="4" customFormat="1" ht="24.95" customHeight="1">
      <c r="A253" s="11" t="s">
        <v>302</v>
      </c>
      <c r="B253" s="15" t="s">
        <v>140</v>
      </c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8">
        <f t="shared" si="5"/>
        <v>0</v>
      </c>
    </row>
    <row r="254" spans="1:34" s="4" customFormat="1" ht="24.95" customHeight="1">
      <c r="A254" s="12"/>
      <c r="B254" s="16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8">
        <f>SUM(C254:AG254)</f>
        <v>0</v>
      </c>
    </row>
    <row r="255" spans="1:34" s="4" customFormat="1" ht="24.95" customHeight="1">
      <c r="A255" s="11" t="s">
        <v>303</v>
      </c>
      <c r="B255" s="13" t="s">
        <v>141</v>
      </c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8">
        <f t="shared" si="5"/>
        <v>0</v>
      </c>
    </row>
    <row r="256" spans="1:34" s="4" customFormat="1" ht="24.95" customHeight="1">
      <c r="A256" s="12"/>
      <c r="B256" s="14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8">
        <f>SUM(C256:AG257)</f>
        <v>0</v>
      </c>
    </row>
    <row r="257" spans="1:34" s="4" customFormat="1" ht="24.95" customHeight="1">
      <c r="A257" s="11" t="s">
        <v>304</v>
      </c>
      <c r="B257" s="13" t="s">
        <v>142</v>
      </c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8">
        <f t="shared" si="5"/>
        <v>0</v>
      </c>
    </row>
    <row r="258" spans="1:34" s="4" customFormat="1" ht="24.95" customHeight="1">
      <c r="A258" s="12"/>
      <c r="B258" s="14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8">
        <f>SUM(C258:AG258)</f>
        <v>0</v>
      </c>
    </row>
    <row r="259" spans="1:34" s="4" customFormat="1" ht="24.95" customHeight="1">
      <c r="A259" s="11" t="s">
        <v>305</v>
      </c>
      <c r="B259" s="13" t="s">
        <v>143</v>
      </c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8">
        <f t="shared" si="5"/>
        <v>0</v>
      </c>
    </row>
    <row r="260" spans="1:34" s="4" customFormat="1" ht="24.95" customHeight="1">
      <c r="A260" s="12"/>
      <c r="B260" s="14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8">
        <f>SUM(C260:AG260)</f>
        <v>0</v>
      </c>
    </row>
    <row r="261" spans="1:34" s="4" customFormat="1" ht="24.95" customHeight="1">
      <c r="A261" s="11" t="s">
        <v>306</v>
      </c>
      <c r="B261" s="13" t="s">
        <v>144</v>
      </c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8">
        <f t="shared" si="5"/>
        <v>0</v>
      </c>
    </row>
    <row r="262" spans="1:34" s="4" customFormat="1" ht="24.95" customHeight="1">
      <c r="A262" s="12"/>
      <c r="B262" s="14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8">
        <f>SUM(C262:AG262)</f>
        <v>0</v>
      </c>
    </row>
    <row r="263" spans="1:34" s="4" customFormat="1" ht="24.95" customHeight="1">
      <c r="A263" s="11" t="s">
        <v>307</v>
      </c>
      <c r="B263" s="13" t="s">
        <v>145</v>
      </c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8">
        <f t="shared" ref="AH263:AH325" si="6">COUNTIF($C263:$AG263,"ph")*2 + COUNTIF($C263:$AG263,"a") + COUNTIF($C263:$AG263,"b") + COUNTIF($C263:$AG263,"c") + COUNTIF($C263:$AG263,"g") + COUNTIF($C263:$AG263,"d")*1.5 + COUNTIF($C263:$AG263,"n")*1.5</f>
        <v>0</v>
      </c>
    </row>
    <row r="264" spans="1:34" s="4" customFormat="1" ht="24.95" customHeight="1">
      <c r="A264" s="12"/>
      <c r="B264" s="14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8">
        <f>SUM(C264:AG264)</f>
        <v>0</v>
      </c>
    </row>
    <row r="265" spans="1:34" s="4" customFormat="1" ht="24.95" customHeight="1">
      <c r="A265" s="11" t="s">
        <v>308</v>
      </c>
      <c r="B265" s="15" t="s">
        <v>146</v>
      </c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8">
        <f t="shared" si="6"/>
        <v>0</v>
      </c>
    </row>
    <row r="266" spans="1:34" s="4" customFormat="1" ht="24.95" customHeight="1">
      <c r="A266" s="12"/>
      <c r="B266" s="16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8">
        <f>SUM(C266:AG266)</f>
        <v>0</v>
      </c>
    </row>
    <row r="267" spans="1:34" s="4" customFormat="1" ht="24.95" customHeight="1">
      <c r="A267" s="11" t="s">
        <v>309</v>
      </c>
      <c r="B267" s="15" t="s">
        <v>147</v>
      </c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8">
        <f t="shared" si="6"/>
        <v>0</v>
      </c>
    </row>
    <row r="268" spans="1:34" s="4" customFormat="1" ht="24.95" customHeight="1">
      <c r="A268" s="12"/>
      <c r="B268" s="16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8">
        <f>SUM(C268:AG268)</f>
        <v>0</v>
      </c>
    </row>
    <row r="269" spans="1:34" s="4" customFormat="1" ht="24.95" customHeight="1">
      <c r="A269" s="11" t="s">
        <v>310</v>
      </c>
      <c r="B269" s="13" t="s">
        <v>148</v>
      </c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8">
        <f t="shared" si="6"/>
        <v>0</v>
      </c>
    </row>
    <row r="270" spans="1:34" s="4" customFormat="1" ht="24.95" customHeight="1">
      <c r="A270" s="12"/>
      <c r="B270" s="14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8">
        <f>SUM(C270:AG270)</f>
        <v>0</v>
      </c>
    </row>
    <row r="271" spans="1:34" s="4" customFormat="1" ht="24.95" customHeight="1">
      <c r="A271" s="11" t="s">
        <v>311</v>
      </c>
      <c r="B271" s="13" t="s">
        <v>149</v>
      </c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8">
        <f t="shared" si="6"/>
        <v>0</v>
      </c>
    </row>
    <row r="272" spans="1:34" s="4" customFormat="1" ht="24.95" customHeight="1">
      <c r="A272" s="12"/>
      <c r="B272" s="14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8">
        <f>SUM(C272:AG272)</f>
        <v>0</v>
      </c>
    </row>
    <row r="273" spans="1:34" s="4" customFormat="1" ht="24.95" customHeight="1">
      <c r="A273" s="11" t="s">
        <v>312</v>
      </c>
      <c r="B273" s="13" t="s">
        <v>150</v>
      </c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8">
        <f t="shared" si="6"/>
        <v>0</v>
      </c>
    </row>
    <row r="274" spans="1:34" s="4" customFormat="1" ht="24.95" customHeight="1">
      <c r="A274" s="12"/>
      <c r="B274" s="14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8">
        <f>SUM(C274:AG274)</f>
        <v>0</v>
      </c>
    </row>
    <row r="275" spans="1:34" s="4" customFormat="1" ht="24.95" customHeight="1">
      <c r="A275" s="11" t="s">
        <v>313</v>
      </c>
      <c r="B275" s="13" t="s">
        <v>151</v>
      </c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8">
        <f t="shared" si="6"/>
        <v>0</v>
      </c>
    </row>
    <row r="276" spans="1:34" s="4" customFormat="1" ht="24.95" customHeight="1">
      <c r="A276" s="12"/>
      <c r="B276" s="14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8">
        <f>SUM(C276:AG276)</f>
        <v>0</v>
      </c>
    </row>
    <row r="277" spans="1:34" s="4" customFormat="1" ht="24.95" customHeight="1">
      <c r="A277" s="11" t="s">
        <v>314</v>
      </c>
      <c r="B277" s="13" t="s">
        <v>152</v>
      </c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8">
        <f t="shared" si="6"/>
        <v>0</v>
      </c>
    </row>
    <row r="278" spans="1:34" s="4" customFormat="1" ht="24.95" customHeight="1">
      <c r="A278" s="12"/>
      <c r="B278" s="14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8">
        <f>SUM(C278:AG278)</f>
        <v>0</v>
      </c>
    </row>
    <row r="279" spans="1:34" s="4" customFormat="1" ht="24.95" customHeight="1">
      <c r="A279" s="11" t="s">
        <v>315</v>
      </c>
      <c r="B279" s="13" t="s">
        <v>153</v>
      </c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8">
        <f t="shared" si="6"/>
        <v>0</v>
      </c>
    </row>
    <row r="280" spans="1:34" s="4" customFormat="1" ht="24.95" customHeight="1">
      <c r="A280" s="12"/>
      <c r="B280" s="14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8">
        <f>SUM(C280:AG280)</f>
        <v>0</v>
      </c>
    </row>
    <row r="281" spans="1:34" s="4" customFormat="1" ht="24.95" customHeight="1">
      <c r="A281" s="11" t="s">
        <v>316</v>
      </c>
      <c r="B281" s="13" t="s">
        <v>154</v>
      </c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8">
        <f t="shared" si="6"/>
        <v>0</v>
      </c>
    </row>
    <row r="282" spans="1:34" s="4" customFormat="1" ht="24.95" customHeight="1">
      <c r="A282" s="12"/>
      <c r="B282" s="14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8">
        <f>SUM(C282:AG282)</f>
        <v>0</v>
      </c>
    </row>
    <row r="283" spans="1:34" s="4" customFormat="1" ht="24.95" customHeight="1">
      <c r="A283" s="11" t="s">
        <v>317</v>
      </c>
      <c r="B283" s="15" t="s">
        <v>155</v>
      </c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8">
        <f t="shared" si="6"/>
        <v>0</v>
      </c>
    </row>
    <row r="284" spans="1:34" s="4" customFormat="1" ht="24.95" customHeight="1">
      <c r="A284" s="12"/>
      <c r="B284" s="16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8">
        <f>SUM(C284:AG284)</f>
        <v>0</v>
      </c>
    </row>
    <row r="285" spans="1:34" s="4" customFormat="1" ht="24.95" customHeight="1">
      <c r="A285" s="11" t="s">
        <v>318</v>
      </c>
      <c r="B285" s="13" t="s">
        <v>156</v>
      </c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8">
        <f t="shared" si="6"/>
        <v>0</v>
      </c>
    </row>
    <row r="286" spans="1:34" s="4" customFormat="1" ht="24.95" customHeight="1">
      <c r="A286" s="12"/>
      <c r="B286" s="14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8">
        <f>SUM(C286:AG286)</f>
        <v>0</v>
      </c>
    </row>
    <row r="287" spans="1:34" s="4" customFormat="1" ht="24.95" customHeight="1">
      <c r="A287" s="11" t="s">
        <v>319</v>
      </c>
      <c r="B287" s="13" t="s">
        <v>157</v>
      </c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8">
        <f t="shared" si="6"/>
        <v>0</v>
      </c>
    </row>
    <row r="288" spans="1:34" s="4" customFormat="1" ht="24.95" customHeight="1">
      <c r="A288" s="12"/>
      <c r="B288" s="14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8">
        <f>SUM(C288:AG288)</f>
        <v>0</v>
      </c>
    </row>
    <row r="289" spans="1:34" s="4" customFormat="1" ht="24.95" customHeight="1">
      <c r="A289" s="11" t="s">
        <v>320</v>
      </c>
      <c r="B289" s="13" t="s">
        <v>158</v>
      </c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8">
        <f t="shared" si="6"/>
        <v>0</v>
      </c>
    </row>
    <row r="290" spans="1:34" s="4" customFormat="1" ht="24.95" customHeight="1">
      <c r="A290" s="12"/>
      <c r="B290" s="14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8">
        <f>SUM(C290:AG290)</f>
        <v>0</v>
      </c>
    </row>
    <row r="291" spans="1:34" s="4" customFormat="1" ht="24.95" customHeight="1">
      <c r="A291" s="11" t="s">
        <v>321</v>
      </c>
      <c r="B291" s="13" t="s">
        <v>159</v>
      </c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8">
        <f t="shared" si="6"/>
        <v>0</v>
      </c>
    </row>
    <row r="292" spans="1:34" s="4" customFormat="1" ht="24.95" customHeight="1">
      <c r="A292" s="12"/>
      <c r="B292" s="14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8">
        <f>SUM(C292:AG292)</f>
        <v>0</v>
      </c>
    </row>
    <row r="293" spans="1:34" s="4" customFormat="1" ht="24.95" customHeight="1">
      <c r="A293" s="11" t="s">
        <v>322</v>
      </c>
      <c r="B293" s="13" t="s">
        <v>160</v>
      </c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8">
        <f t="shared" si="6"/>
        <v>0</v>
      </c>
    </row>
    <row r="294" spans="1:34" s="4" customFormat="1" ht="24.95" customHeight="1">
      <c r="A294" s="12"/>
      <c r="B294" s="14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8">
        <f>SUM(C294:AG294)</f>
        <v>0</v>
      </c>
    </row>
    <row r="295" spans="1:34" s="4" customFormat="1" ht="24.95" customHeight="1">
      <c r="A295" s="11" t="s">
        <v>323</v>
      </c>
      <c r="B295" s="13" t="s">
        <v>161</v>
      </c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8">
        <f t="shared" si="6"/>
        <v>0</v>
      </c>
    </row>
    <row r="296" spans="1:34" s="4" customFormat="1" ht="24.95" customHeight="1">
      <c r="A296" s="12"/>
      <c r="B296" s="14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8">
        <f>SUM(C296:AG296)</f>
        <v>0</v>
      </c>
    </row>
    <row r="297" spans="1:34" s="4" customFormat="1" ht="24.95" customHeight="1">
      <c r="A297" s="11" t="s">
        <v>324</v>
      </c>
      <c r="B297" s="13" t="s">
        <v>162</v>
      </c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8">
        <f t="shared" si="6"/>
        <v>0</v>
      </c>
    </row>
    <row r="298" spans="1:34" s="4" customFormat="1" ht="24.95" customHeight="1">
      <c r="A298" s="12"/>
      <c r="B298" s="14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8">
        <f>SUM(C298:AG298)</f>
        <v>0</v>
      </c>
    </row>
    <row r="299" spans="1:34" s="4" customFormat="1" ht="24.95" customHeight="1">
      <c r="A299" s="11" t="s">
        <v>325</v>
      </c>
      <c r="B299" s="13" t="s">
        <v>163</v>
      </c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8">
        <f t="shared" si="6"/>
        <v>0</v>
      </c>
    </row>
    <row r="300" spans="1:34" s="4" customFormat="1" ht="24.95" customHeight="1">
      <c r="A300" s="12"/>
      <c r="B300" s="14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8">
        <f>SUM(C300:AG300)</f>
        <v>0</v>
      </c>
    </row>
    <row r="301" spans="1:34" s="4" customFormat="1" ht="24.95" customHeight="1">
      <c r="A301" s="11" t="s">
        <v>326</v>
      </c>
      <c r="B301" s="13" t="s">
        <v>164</v>
      </c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8">
        <f t="shared" si="6"/>
        <v>0</v>
      </c>
    </row>
    <row r="302" spans="1:34" s="4" customFormat="1" ht="24.95" customHeight="1">
      <c r="A302" s="12"/>
      <c r="B302" s="14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8">
        <f>SUM(C302:AG302)</f>
        <v>0</v>
      </c>
    </row>
    <row r="303" spans="1:34" s="4" customFormat="1" ht="24.95" customHeight="1">
      <c r="A303" s="11" t="s">
        <v>327</v>
      </c>
      <c r="B303" s="13" t="s">
        <v>165</v>
      </c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8">
        <f t="shared" si="6"/>
        <v>0</v>
      </c>
    </row>
    <row r="304" spans="1:34" s="4" customFormat="1" ht="24.95" customHeight="1">
      <c r="A304" s="12"/>
      <c r="B304" s="14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8">
        <f>SUM(C304:AG304)</f>
        <v>0</v>
      </c>
    </row>
    <row r="305" spans="1:34" s="4" customFormat="1" ht="24.95" customHeight="1">
      <c r="A305" s="11" t="s">
        <v>328</v>
      </c>
      <c r="B305" s="15" t="s">
        <v>166</v>
      </c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8">
        <f t="shared" si="6"/>
        <v>0</v>
      </c>
    </row>
    <row r="306" spans="1:34" s="4" customFormat="1" ht="24.95" customHeight="1">
      <c r="A306" s="12"/>
      <c r="B306" s="16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8">
        <f>SUM(C306:AG306)</f>
        <v>0</v>
      </c>
    </row>
    <row r="307" spans="1:34" s="4" customFormat="1" ht="24.95" customHeight="1">
      <c r="A307" s="11" t="s">
        <v>329</v>
      </c>
      <c r="B307" s="15" t="s">
        <v>167</v>
      </c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8">
        <f t="shared" si="6"/>
        <v>0</v>
      </c>
    </row>
    <row r="308" spans="1:34" s="4" customFormat="1" ht="24.95" customHeight="1">
      <c r="A308" s="12"/>
      <c r="B308" s="16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8">
        <f>SUM(C308:AG308)</f>
        <v>0</v>
      </c>
    </row>
    <row r="309" spans="1:34" s="4" customFormat="1" ht="24.95" customHeight="1">
      <c r="A309" s="11" t="s">
        <v>330</v>
      </c>
      <c r="B309" s="13" t="s">
        <v>168</v>
      </c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8">
        <f t="shared" si="6"/>
        <v>0</v>
      </c>
    </row>
    <row r="310" spans="1:34" s="4" customFormat="1" ht="24.95" customHeight="1">
      <c r="A310" s="12"/>
      <c r="B310" s="14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8">
        <f>SUM(C310:AG310)</f>
        <v>0</v>
      </c>
    </row>
    <row r="311" spans="1:34" s="4" customFormat="1" ht="24.95" customHeight="1">
      <c r="A311" s="11" t="s">
        <v>331</v>
      </c>
      <c r="B311" s="15" t="s">
        <v>169</v>
      </c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8">
        <f t="shared" si="6"/>
        <v>0</v>
      </c>
    </row>
    <row r="312" spans="1:34" s="4" customFormat="1" ht="24.95" customHeight="1">
      <c r="A312" s="12"/>
      <c r="B312" s="16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8">
        <f>SUM(C312:AG312)</f>
        <v>0</v>
      </c>
    </row>
    <row r="313" spans="1:34" s="4" customFormat="1" ht="24.95" customHeight="1">
      <c r="A313" s="11" t="s">
        <v>332</v>
      </c>
      <c r="B313" s="13" t="s">
        <v>170</v>
      </c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8">
        <f t="shared" si="6"/>
        <v>0</v>
      </c>
    </row>
    <row r="314" spans="1:34" s="4" customFormat="1" ht="24.95" customHeight="1">
      <c r="A314" s="12"/>
      <c r="B314" s="14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8">
        <f>SUM(C314:AG314)</f>
        <v>0</v>
      </c>
    </row>
    <row r="315" spans="1:34" s="4" customFormat="1" ht="24.95" customHeight="1">
      <c r="A315" s="11" t="s">
        <v>333</v>
      </c>
      <c r="B315" s="13" t="s">
        <v>171</v>
      </c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8">
        <f t="shared" si="6"/>
        <v>0</v>
      </c>
    </row>
    <row r="316" spans="1:34" s="4" customFormat="1" ht="24.95" customHeight="1">
      <c r="A316" s="12"/>
      <c r="B316" s="14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8">
        <f>SUM(C316:AG316)</f>
        <v>0</v>
      </c>
    </row>
    <row r="317" spans="1:34" s="4" customFormat="1" ht="24.95" customHeight="1">
      <c r="A317" s="11" t="s">
        <v>334</v>
      </c>
      <c r="B317" s="13" t="s">
        <v>172</v>
      </c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8">
        <f t="shared" si="6"/>
        <v>0</v>
      </c>
    </row>
    <row r="318" spans="1:34" s="4" customFormat="1" ht="24.95" customHeight="1">
      <c r="A318" s="12"/>
      <c r="B318" s="14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8">
        <f>SUM(C318:AG318)</f>
        <v>0</v>
      </c>
    </row>
    <row r="319" spans="1:34" s="4" customFormat="1" ht="24.95" customHeight="1">
      <c r="A319" s="11" t="s">
        <v>335</v>
      </c>
      <c r="B319" s="13" t="s">
        <v>173</v>
      </c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8">
        <f t="shared" si="6"/>
        <v>0</v>
      </c>
    </row>
    <row r="320" spans="1:34" s="4" customFormat="1" ht="24.95" customHeight="1">
      <c r="A320" s="12"/>
      <c r="B320" s="14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8">
        <f>SUM(C320:AG320)</f>
        <v>0</v>
      </c>
    </row>
    <row r="321" spans="1:34" s="4" customFormat="1" ht="24.95" customHeight="1">
      <c r="A321" s="11" t="s">
        <v>336</v>
      </c>
      <c r="B321" s="13" t="s">
        <v>174</v>
      </c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8">
        <f t="shared" si="6"/>
        <v>0</v>
      </c>
    </row>
    <row r="322" spans="1:34" s="4" customFormat="1" ht="24.95" customHeight="1">
      <c r="A322" s="12"/>
      <c r="B322" s="14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8">
        <f>SUM(C322:AG322)</f>
        <v>0</v>
      </c>
    </row>
    <row r="323" spans="1:34" s="4" customFormat="1" ht="24.95" customHeight="1">
      <c r="A323" s="11" t="s">
        <v>337</v>
      </c>
      <c r="B323" s="13" t="s">
        <v>175</v>
      </c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8">
        <f t="shared" si="6"/>
        <v>0</v>
      </c>
    </row>
    <row r="324" spans="1:34" s="4" customFormat="1" ht="24.95" customHeight="1">
      <c r="A324" s="12"/>
      <c r="B324" s="14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8">
        <f>SUM(C324:AG325)</f>
        <v>0</v>
      </c>
    </row>
    <row r="325" spans="1:34" s="4" customFormat="1" ht="24.95" customHeight="1">
      <c r="A325" s="11" t="s">
        <v>338</v>
      </c>
      <c r="B325" s="15" t="s">
        <v>176</v>
      </c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8">
        <f t="shared" si="6"/>
        <v>0</v>
      </c>
    </row>
    <row r="326" spans="1:34" s="4" customFormat="1" ht="24.95" customHeight="1">
      <c r="A326" s="12"/>
      <c r="B326" s="16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8">
        <f>SUM(C326:AG326)</f>
        <v>0</v>
      </c>
    </row>
    <row r="327" spans="1:34" s="4" customFormat="1" ht="24.95" customHeight="1">
      <c r="A327" s="11" t="s">
        <v>339</v>
      </c>
      <c r="B327" s="15" t="s">
        <v>177</v>
      </c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8">
        <f t="shared" ref="AH327" si="7">COUNTIF($C327:$AG327,"ph")*2 + COUNTIF($C327:$AG327,"a") + COUNTIF($C327:$AG327,"b") + COUNTIF($C327:$AG327,"c") + COUNTIF($C327:$AG327,"g") + COUNTIF($C327:$AG327,"d")*1.5 + COUNTIF($C327:$AG327,"n")*1.5</f>
        <v>0</v>
      </c>
    </row>
    <row r="328" spans="1:34" ht="24.95" customHeight="1">
      <c r="A328" s="12"/>
      <c r="B328" s="16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8">
        <f>SUM(C328:AG328)</f>
        <v>0</v>
      </c>
    </row>
  </sheetData>
  <mergeCells count="332">
    <mergeCell ref="AF2:AH2"/>
    <mergeCell ref="AH3:AH4"/>
    <mergeCell ref="A3:A4"/>
    <mergeCell ref="B3:B4"/>
    <mergeCell ref="A1:AH1"/>
    <mergeCell ref="F2:H2"/>
    <mergeCell ref="I2:J2"/>
    <mergeCell ref="K2:M2"/>
    <mergeCell ref="A11:A12"/>
    <mergeCell ref="B11:B12"/>
    <mergeCell ref="A13:A14"/>
    <mergeCell ref="B13:B14"/>
    <mergeCell ref="A15:A16"/>
    <mergeCell ref="B15:B16"/>
    <mergeCell ref="A5:A6"/>
    <mergeCell ref="B5:B6"/>
    <mergeCell ref="A7:A8"/>
    <mergeCell ref="B7:B8"/>
    <mergeCell ref="A9:A10"/>
    <mergeCell ref="B9:B10"/>
    <mergeCell ref="A23:A24"/>
    <mergeCell ref="B23:B24"/>
    <mergeCell ref="A25:A26"/>
    <mergeCell ref="B25:B26"/>
    <mergeCell ref="A27:A28"/>
    <mergeCell ref="B27:B28"/>
    <mergeCell ref="A17:A18"/>
    <mergeCell ref="B17:B18"/>
    <mergeCell ref="A19:A20"/>
    <mergeCell ref="B19:B20"/>
    <mergeCell ref="A21:A22"/>
    <mergeCell ref="B21:B22"/>
    <mergeCell ref="A35:A36"/>
    <mergeCell ref="B35:B36"/>
    <mergeCell ref="A37:A38"/>
    <mergeCell ref="B37:B38"/>
    <mergeCell ref="A39:A40"/>
    <mergeCell ref="B39:B40"/>
    <mergeCell ref="A29:A30"/>
    <mergeCell ref="B29:B30"/>
    <mergeCell ref="A31:A32"/>
    <mergeCell ref="B31:B32"/>
    <mergeCell ref="A33:A34"/>
    <mergeCell ref="B33:B34"/>
    <mergeCell ref="A47:A48"/>
    <mergeCell ref="B47:B48"/>
    <mergeCell ref="A49:A50"/>
    <mergeCell ref="B49:B50"/>
    <mergeCell ref="A51:A52"/>
    <mergeCell ref="B51:B52"/>
    <mergeCell ref="A41:A42"/>
    <mergeCell ref="B41:B42"/>
    <mergeCell ref="A43:A44"/>
    <mergeCell ref="B43:B44"/>
    <mergeCell ref="A45:A46"/>
    <mergeCell ref="B45:B46"/>
    <mergeCell ref="A59:A60"/>
    <mergeCell ref="B59:B60"/>
    <mergeCell ref="A61:A62"/>
    <mergeCell ref="B61:B62"/>
    <mergeCell ref="A63:A64"/>
    <mergeCell ref="B63:B64"/>
    <mergeCell ref="A53:A54"/>
    <mergeCell ref="B53:B54"/>
    <mergeCell ref="A55:A56"/>
    <mergeCell ref="B55:B56"/>
    <mergeCell ref="A57:A58"/>
    <mergeCell ref="B57:B58"/>
    <mergeCell ref="A71:A72"/>
    <mergeCell ref="B71:B72"/>
    <mergeCell ref="A73:A74"/>
    <mergeCell ref="B73:B74"/>
    <mergeCell ref="A75:A76"/>
    <mergeCell ref="B75:B76"/>
    <mergeCell ref="A65:A66"/>
    <mergeCell ref="B65:B66"/>
    <mergeCell ref="A67:A68"/>
    <mergeCell ref="B67:B68"/>
    <mergeCell ref="A69:A70"/>
    <mergeCell ref="B69:B70"/>
    <mergeCell ref="A83:A84"/>
    <mergeCell ref="B83:B84"/>
    <mergeCell ref="A85:A86"/>
    <mergeCell ref="B85:B86"/>
    <mergeCell ref="A87:A88"/>
    <mergeCell ref="B87:B88"/>
    <mergeCell ref="A77:A78"/>
    <mergeCell ref="B77:B78"/>
    <mergeCell ref="A79:A80"/>
    <mergeCell ref="B79:B80"/>
    <mergeCell ref="A81:A82"/>
    <mergeCell ref="B81:B82"/>
    <mergeCell ref="A95:A96"/>
    <mergeCell ref="B95:B96"/>
    <mergeCell ref="A97:A98"/>
    <mergeCell ref="B97:B98"/>
    <mergeCell ref="A99:A100"/>
    <mergeCell ref="B99:B100"/>
    <mergeCell ref="A89:A90"/>
    <mergeCell ref="B89:B90"/>
    <mergeCell ref="A91:A92"/>
    <mergeCell ref="B91:B92"/>
    <mergeCell ref="A93:A94"/>
    <mergeCell ref="B93:B94"/>
    <mergeCell ref="A107:A108"/>
    <mergeCell ref="B107:B108"/>
    <mergeCell ref="A109:A110"/>
    <mergeCell ref="B109:B110"/>
    <mergeCell ref="A111:A112"/>
    <mergeCell ref="B111:B112"/>
    <mergeCell ref="A101:A102"/>
    <mergeCell ref="B101:B102"/>
    <mergeCell ref="A103:A104"/>
    <mergeCell ref="B103:B104"/>
    <mergeCell ref="A105:A106"/>
    <mergeCell ref="B105:B106"/>
    <mergeCell ref="A119:A120"/>
    <mergeCell ref="B119:B120"/>
    <mergeCell ref="A121:A122"/>
    <mergeCell ref="B121:B122"/>
    <mergeCell ref="A123:A124"/>
    <mergeCell ref="B123:B124"/>
    <mergeCell ref="A113:A114"/>
    <mergeCell ref="B113:B114"/>
    <mergeCell ref="A115:A116"/>
    <mergeCell ref="B115:B116"/>
    <mergeCell ref="A117:A118"/>
    <mergeCell ref="B117:B118"/>
    <mergeCell ref="A131:A132"/>
    <mergeCell ref="B131:B132"/>
    <mergeCell ref="A133:A134"/>
    <mergeCell ref="B133:B134"/>
    <mergeCell ref="A135:A136"/>
    <mergeCell ref="B135:B136"/>
    <mergeCell ref="A125:A126"/>
    <mergeCell ref="B125:B126"/>
    <mergeCell ref="A127:A128"/>
    <mergeCell ref="B127:B128"/>
    <mergeCell ref="A129:A130"/>
    <mergeCell ref="B129:B130"/>
    <mergeCell ref="A143:A144"/>
    <mergeCell ref="B143:B144"/>
    <mergeCell ref="A145:A146"/>
    <mergeCell ref="B145:B146"/>
    <mergeCell ref="A147:A148"/>
    <mergeCell ref="B147:B148"/>
    <mergeCell ref="A137:A138"/>
    <mergeCell ref="B137:B138"/>
    <mergeCell ref="A139:A140"/>
    <mergeCell ref="B139:B140"/>
    <mergeCell ref="A141:A142"/>
    <mergeCell ref="B141:B142"/>
    <mergeCell ref="A155:A156"/>
    <mergeCell ref="B155:B156"/>
    <mergeCell ref="A157:A158"/>
    <mergeCell ref="B157:B158"/>
    <mergeCell ref="A159:A160"/>
    <mergeCell ref="B159:B160"/>
    <mergeCell ref="A149:A150"/>
    <mergeCell ref="B149:B150"/>
    <mergeCell ref="A151:A152"/>
    <mergeCell ref="B151:B152"/>
    <mergeCell ref="A153:A154"/>
    <mergeCell ref="B153:B154"/>
    <mergeCell ref="A167:A168"/>
    <mergeCell ref="B167:B168"/>
    <mergeCell ref="A169:A170"/>
    <mergeCell ref="B169:B170"/>
    <mergeCell ref="A171:A172"/>
    <mergeCell ref="B171:B172"/>
    <mergeCell ref="A161:A162"/>
    <mergeCell ref="B161:B162"/>
    <mergeCell ref="A163:A164"/>
    <mergeCell ref="B163:B164"/>
    <mergeCell ref="A165:A166"/>
    <mergeCell ref="B165:B166"/>
    <mergeCell ref="A179:A180"/>
    <mergeCell ref="B179:B180"/>
    <mergeCell ref="A181:A182"/>
    <mergeCell ref="B181:B182"/>
    <mergeCell ref="A183:A184"/>
    <mergeCell ref="B183:B184"/>
    <mergeCell ref="A173:A174"/>
    <mergeCell ref="B173:B174"/>
    <mergeCell ref="A175:A176"/>
    <mergeCell ref="B175:B176"/>
    <mergeCell ref="A177:A178"/>
    <mergeCell ref="B177:B178"/>
    <mergeCell ref="A191:A192"/>
    <mergeCell ref="B191:B192"/>
    <mergeCell ref="A193:A194"/>
    <mergeCell ref="B193:B194"/>
    <mergeCell ref="A195:A196"/>
    <mergeCell ref="B195:B196"/>
    <mergeCell ref="A185:A186"/>
    <mergeCell ref="B185:B186"/>
    <mergeCell ref="A187:A188"/>
    <mergeCell ref="B187:B188"/>
    <mergeCell ref="A189:A190"/>
    <mergeCell ref="B189:B190"/>
    <mergeCell ref="A203:A204"/>
    <mergeCell ref="B203:B204"/>
    <mergeCell ref="A205:A206"/>
    <mergeCell ref="B205:B206"/>
    <mergeCell ref="A207:A208"/>
    <mergeCell ref="B207:B208"/>
    <mergeCell ref="A197:A198"/>
    <mergeCell ref="B197:B198"/>
    <mergeCell ref="A199:A200"/>
    <mergeCell ref="B199:B200"/>
    <mergeCell ref="A201:A202"/>
    <mergeCell ref="B201:B202"/>
    <mergeCell ref="A215:A216"/>
    <mergeCell ref="B215:B216"/>
    <mergeCell ref="A217:A218"/>
    <mergeCell ref="B217:B218"/>
    <mergeCell ref="A219:A220"/>
    <mergeCell ref="B219:B220"/>
    <mergeCell ref="A209:A210"/>
    <mergeCell ref="B209:B210"/>
    <mergeCell ref="A211:A212"/>
    <mergeCell ref="B211:B212"/>
    <mergeCell ref="A213:A214"/>
    <mergeCell ref="B213:B214"/>
    <mergeCell ref="A227:A228"/>
    <mergeCell ref="B227:B228"/>
    <mergeCell ref="A229:A230"/>
    <mergeCell ref="B229:B230"/>
    <mergeCell ref="A231:A232"/>
    <mergeCell ref="B231:B232"/>
    <mergeCell ref="A221:A222"/>
    <mergeCell ref="B221:B222"/>
    <mergeCell ref="A223:A224"/>
    <mergeCell ref="B223:B224"/>
    <mergeCell ref="A225:A226"/>
    <mergeCell ref="B225:B226"/>
    <mergeCell ref="A239:A240"/>
    <mergeCell ref="B239:B240"/>
    <mergeCell ref="A241:A242"/>
    <mergeCell ref="B241:B242"/>
    <mergeCell ref="A243:A244"/>
    <mergeCell ref="B243:B244"/>
    <mergeCell ref="A233:A234"/>
    <mergeCell ref="B233:B234"/>
    <mergeCell ref="A235:A236"/>
    <mergeCell ref="B235:B236"/>
    <mergeCell ref="A237:A238"/>
    <mergeCell ref="B237:B238"/>
    <mergeCell ref="A251:A252"/>
    <mergeCell ref="B251:B252"/>
    <mergeCell ref="A253:A254"/>
    <mergeCell ref="B253:B254"/>
    <mergeCell ref="A255:A256"/>
    <mergeCell ref="B255:B256"/>
    <mergeCell ref="A245:A246"/>
    <mergeCell ref="B245:B246"/>
    <mergeCell ref="A247:A248"/>
    <mergeCell ref="B247:B248"/>
    <mergeCell ref="A249:A250"/>
    <mergeCell ref="B249:B250"/>
    <mergeCell ref="A263:A264"/>
    <mergeCell ref="B263:B264"/>
    <mergeCell ref="A265:A266"/>
    <mergeCell ref="B265:B266"/>
    <mergeCell ref="A267:A268"/>
    <mergeCell ref="B267:B268"/>
    <mergeCell ref="A257:A258"/>
    <mergeCell ref="B257:B258"/>
    <mergeCell ref="A259:A260"/>
    <mergeCell ref="B259:B260"/>
    <mergeCell ref="A261:A262"/>
    <mergeCell ref="B261:B262"/>
    <mergeCell ref="A275:A276"/>
    <mergeCell ref="B275:B276"/>
    <mergeCell ref="A277:A278"/>
    <mergeCell ref="B277:B278"/>
    <mergeCell ref="A279:A280"/>
    <mergeCell ref="B279:B280"/>
    <mergeCell ref="A269:A270"/>
    <mergeCell ref="B269:B270"/>
    <mergeCell ref="A271:A272"/>
    <mergeCell ref="B271:B272"/>
    <mergeCell ref="A273:A274"/>
    <mergeCell ref="B273:B274"/>
    <mergeCell ref="A287:A288"/>
    <mergeCell ref="B287:B288"/>
    <mergeCell ref="A289:A290"/>
    <mergeCell ref="B289:B290"/>
    <mergeCell ref="A291:A292"/>
    <mergeCell ref="B291:B292"/>
    <mergeCell ref="A281:A282"/>
    <mergeCell ref="B281:B282"/>
    <mergeCell ref="A283:A284"/>
    <mergeCell ref="B283:B284"/>
    <mergeCell ref="A285:A286"/>
    <mergeCell ref="B285:B286"/>
    <mergeCell ref="A299:A300"/>
    <mergeCell ref="B299:B300"/>
    <mergeCell ref="A301:A302"/>
    <mergeCell ref="B301:B302"/>
    <mergeCell ref="A303:A304"/>
    <mergeCell ref="B303:B304"/>
    <mergeCell ref="A293:A294"/>
    <mergeCell ref="B293:B294"/>
    <mergeCell ref="A295:A296"/>
    <mergeCell ref="B295:B296"/>
    <mergeCell ref="A297:A298"/>
    <mergeCell ref="B297:B298"/>
    <mergeCell ref="A311:A312"/>
    <mergeCell ref="B311:B312"/>
    <mergeCell ref="A313:A314"/>
    <mergeCell ref="B313:B314"/>
    <mergeCell ref="A315:A316"/>
    <mergeCell ref="B315:B316"/>
    <mergeCell ref="A305:A306"/>
    <mergeCell ref="B305:B306"/>
    <mergeCell ref="A307:A308"/>
    <mergeCell ref="B307:B308"/>
    <mergeCell ref="A309:A310"/>
    <mergeCell ref="B309:B310"/>
    <mergeCell ref="A323:A324"/>
    <mergeCell ref="B323:B324"/>
    <mergeCell ref="A325:A326"/>
    <mergeCell ref="B325:B326"/>
    <mergeCell ref="A327:A328"/>
    <mergeCell ref="B327:B328"/>
    <mergeCell ref="A317:A318"/>
    <mergeCell ref="B317:B318"/>
    <mergeCell ref="A319:A320"/>
    <mergeCell ref="B319:B320"/>
    <mergeCell ref="A321:A322"/>
    <mergeCell ref="B321:B322"/>
  </mergeCells>
  <conditionalFormatting sqref="C5:AH5 C6:AG327 AH6:AH328">
    <cfRule type="expression" dxfId="17" priority="18">
      <formula>C$4="Sun"</formula>
    </cfRule>
  </conditionalFormatting>
  <conditionalFormatting sqref="C5:AG327">
    <cfRule type="containsText" dxfId="16" priority="10" operator="containsText" text="ph">
      <formula>NOT(ISERROR(SEARCH("ph",C5)))</formula>
    </cfRule>
    <cfRule type="containsText" dxfId="15" priority="11" operator="containsText" text="n">
      <formula>NOT(ISERROR(SEARCH("n",C5)))</formula>
    </cfRule>
    <cfRule type="containsText" dxfId="14" priority="12" operator="containsText" text="d">
      <formula>NOT(ISERROR(SEARCH("d",C5)))</formula>
    </cfRule>
    <cfRule type="containsText" dxfId="13" priority="13" operator="containsText" text="c">
      <formula>NOT(ISERROR(SEARCH("c",C5)))</formula>
    </cfRule>
    <cfRule type="containsText" dxfId="12" priority="14" operator="containsText" text="b">
      <formula>NOT(ISERROR(SEARCH("b",C5)))</formula>
    </cfRule>
    <cfRule type="containsText" dxfId="11" priority="15" operator="containsText" text="a">
      <formula>NOT(ISERROR(SEARCH("a",C5)))</formula>
    </cfRule>
    <cfRule type="containsText" dxfId="10" priority="16" operator="containsText" text="g">
      <formula>NOT(ISERROR(SEARCH("g",C5)))</formula>
    </cfRule>
    <cfRule type="containsText" dxfId="9" priority="17" operator="containsText" text="x">
      <formula>NOT(ISERROR(SEARCH("x",C5)))</formula>
    </cfRule>
  </conditionalFormatting>
  <conditionalFormatting sqref="C328:AG328">
    <cfRule type="expression" dxfId="8" priority="9">
      <formula>C$4="Sun"</formula>
    </cfRule>
  </conditionalFormatting>
  <conditionalFormatting sqref="C328:AG328">
    <cfRule type="containsText" dxfId="7" priority="1" operator="containsText" text="ph">
      <formula>NOT(ISERROR(SEARCH("ph",C328)))</formula>
    </cfRule>
    <cfRule type="containsText" dxfId="6" priority="2" operator="containsText" text="n">
      <formula>NOT(ISERROR(SEARCH("n",C328)))</formula>
    </cfRule>
    <cfRule type="containsText" dxfId="5" priority="3" operator="containsText" text="d">
      <formula>NOT(ISERROR(SEARCH("d",C328)))</formula>
    </cfRule>
    <cfRule type="containsText" dxfId="4" priority="4" operator="containsText" text="c">
      <formula>NOT(ISERROR(SEARCH("c",C328)))</formula>
    </cfRule>
    <cfRule type="containsText" dxfId="3" priority="5" operator="containsText" text="b">
      <formula>NOT(ISERROR(SEARCH("b",C328)))</formula>
    </cfRule>
    <cfRule type="containsText" dxfId="2" priority="6" operator="containsText" text="a">
      <formula>NOT(ISERROR(SEARCH("a",C328)))</formula>
    </cfRule>
    <cfRule type="containsText" dxfId="1" priority="7" operator="containsText" text="g">
      <formula>NOT(ISERROR(SEARCH("g",C328)))</formula>
    </cfRule>
    <cfRule type="containsText" dxfId="0" priority="8" operator="containsText" text="x">
      <formula>NOT(ISERROR(SEARCH("x",C328)))</formula>
    </cfRule>
  </conditionalFormatting>
  <dataValidations count="1">
    <dataValidation type="custom" errorStyle="warning" allowBlank="1" showInputMessage="1" showErrorMessage="1" error="Today is Sunday" sqref="C5:AH328">
      <formula1>C$4&lt;&gt;"Sun"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Sheet2!$A$1:$A$12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2"/>
  <sheetViews>
    <sheetView workbookViewId="0">
      <selection activeCell="B10" sqref="B10"/>
    </sheetView>
  </sheetViews>
  <sheetFormatPr defaultRowHeight="15"/>
  <cols>
    <col min="1" max="1" width="10.85546875" bestFit="1" customWidth="1"/>
  </cols>
  <sheetData>
    <row r="1" spans="1:1">
      <c r="A1" t="s">
        <v>3</v>
      </c>
    </row>
    <row r="2" spans="1:1">
      <c r="A2" t="s">
        <v>4</v>
      </c>
    </row>
    <row r="3" spans="1:1">
      <c r="A3" t="s">
        <v>5</v>
      </c>
    </row>
    <row r="4" spans="1:1">
      <c r="A4" t="s">
        <v>6</v>
      </c>
    </row>
    <row r="5" spans="1:1">
      <c r="A5" t="s">
        <v>7</v>
      </c>
    </row>
    <row r="6" spans="1:1">
      <c r="A6" t="s">
        <v>8</v>
      </c>
    </row>
    <row r="7" spans="1:1">
      <c r="A7" t="s">
        <v>9</v>
      </c>
    </row>
    <row r="8" spans="1:1">
      <c r="A8" t="s">
        <v>10</v>
      </c>
    </row>
    <row r="9" spans="1:1">
      <c r="A9" t="s">
        <v>11</v>
      </c>
    </row>
    <row r="10" spans="1:1">
      <c r="A10" t="s">
        <v>12</v>
      </c>
    </row>
    <row r="11" spans="1:1">
      <c r="A11" t="s">
        <v>13</v>
      </c>
    </row>
    <row r="12" spans="1:1">
      <c r="A12" t="s">
        <v>14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PC-14</cp:lastModifiedBy>
  <dcterms:created xsi:type="dcterms:W3CDTF">2015-06-05T18:17:20Z</dcterms:created>
  <dcterms:modified xsi:type="dcterms:W3CDTF">2024-03-27T11:50:17Z</dcterms:modified>
</cp:coreProperties>
</file>